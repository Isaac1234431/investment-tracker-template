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mfirm-my.sharepoint.com/personal/isaac_asselstine_treewalk_com/Documents/Documents/Investment Automation/"/>
    </mc:Choice>
  </mc:AlternateContent>
  <xr:revisionPtr revIDLastSave="4738" documentId="8_{B2161804-0EDF-42E0-BE0F-33C496CCEE53}" xr6:coauthVersionLast="47" xr6:coauthVersionMax="47" xr10:uidLastSave="{BC8A548F-5D12-4798-A3F6-049DD98B3954}"/>
  <bookViews>
    <workbookView xWindow="28680" yWindow="-120" windowWidth="29040" windowHeight="15720" activeTab="2" xr2:uid="{5D310D58-D25C-478B-96CD-BDDADD687EF5}"/>
  </bookViews>
  <sheets>
    <sheet name="Summary" sheetId="2" r:id="rId1"/>
    <sheet name="Transaction Glossary" sheetId="5" r:id="rId2"/>
    <sheet name="Individual Stock Template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53" i="9" l="1"/>
  <c r="M252" i="9"/>
  <c r="M251" i="9"/>
  <c r="M250" i="9"/>
  <c r="M249" i="9"/>
  <c r="M248" i="9"/>
  <c r="M247" i="9"/>
  <c r="M246" i="9"/>
  <c r="M245" i="9"/>
  <c r="M244" i="9"/>
  <c r="M243" i="9"/>
  <c r="M242" i="9"/>
  <c r="M241" i="9"/>
  <c r="M240" i="9"/>
  <c r="M239" i="9"/>
  <c r="M238" i="9"/>
  <c r="M237" i="9"/>
  <c r="M236" i="9"/>
  <c r="M235" i="9"/>
  <c r="M234" i="9"/>
  <c r="M233" i="9"/>
  <c r="M232" i="9"/>
  <c r="M231" i="9"/>
  <c r="M230" i="9"/>
  <c r="M229" i="9"/>
  <c r="M228" i="9"/>
  <c r="M227" i="9"/>
  <c r="M226" i="9"/>
  <c r="M225" i="9"/>
  <c r="M224" i="9"/>
  <c r="M223" i="9"/>
  <c r="M222" i="9"/>
  <c r="M221" i="9"/>
  <c r="M220" i="9"/>
  <c r="M219" i="9"/>
  <c r="M218" i="9"/>
  <c r="M217" i="9"/>
  <c r="M216" i="9"/>
  <c r="M215" i="9"/>
  <c r="M214" i="9"/>
  <c r="M213" i="9"/>
  <c r="M212" i="9"/>
  <c r="M211" i="9"/>
  <c r="M210" i="9"/>
  <c r="M209" i="9"/>
  <c r="M208" i="9"/>
  <c r="M207" i="9"/>
  <c r="M206" i="9"/>
  <c r="M205" i="9"/>
  <c r="M204" i="9"/>
  <c r="M203" i="9"/>
  <c r="M202" i="9"/>
  <c r="M201" i="9"/>
  <c r="M200" i="9"/>
  <c r="M199" i="9"/>
  <c r="M198" i="9"/>
  <c r="M197" i="9"/>
  <c r="M196" i="9"/>
  <c r="M195" i="9"/>
  <c r="M194" i="9"/>
  <c r="M193" i="9"/>
  <c r="M192" i="9"/>
  <c r="M191" i="9"/>
  <c r="M190" i="9"/>
  <c r="M189" i="9"/>
  <c r="M188" i="9"/>
  <c r="M187" i="9"/>
  <c r="M186" i="9"/>
  <c r="M185" i="9"/>
  <c r="M184" i="9"/>
  <c r="M183" i="9"/>
  <c r="M182" i="9"/>
  <c r="M181" i="9"/>
  <c r="M180" i="9"/>
  <c r="M179" i="9"/>
  <c r="M178" i="9"/>
  <c r="M177" i="9"/>
  <c r="M176" i="9"/>
  <c r="M175" i="9"/>
  <c r="M174" i="9"/>
  <c r="M173" i="9"/>
  <c r="M172" i="9"/>
  <c r="M171" i="9"/>
  <c r="M170" i="9"/>
  <c r="M169" i="9"/>
  <c r="M168" i="9"/>
  <c r="M167" i="9"/>
  <c r="M166" i="9"/>
  <c r="M165" i="9"/>
  <c r="M164" i="9"/>
  <c r="M163" i="9"/>
  <c r="M162" i="9"/>
  <c r="M161" i="9"/>
  <c r="M160" i="9"/>
  <c r="M159" i="9"/>
  <c r="M158" i="9"/>
  <c r="M157" i="9"/>
  <c r="M156" i="9"/>
  <c r="M155" i="9"/>
  <c r="M154" i="9"/>
  <c r="M153" i="9"/>
  <c r="M152" i="9"/>
  <c r="M151" i="9"/>
  <c r="M150" i="9"/>
  <c r="M149" i="9"/>
  <c r="M148" i="9"/>
  <c r="M147" i="9"/>
  <c r="M146" i="9"/>
  <c r="M145" i="9"/>
  <c r="M144" i="9"/>
  <c r="M143" i="9"/>
  <c r="M142" i="9"/>
  <c r="M141" i="9"/>
  <c r="M140" i="9"/>
  <c r="M139" i="9"/>
  <c r="M138" i="9"/>
  <c r="M137" i="9"/>
  <c r="M136" i="9"/>
  <c r="M135" i="9"/>
  <c r="M134" i="9"/>
  <c r="M133" i="9"/>
  <c r="M132" i="9"/>
  <c r="M131" i="9"/>
  <c r="M130" i="9"/>
  <c r="M129" i="9"/>
  <c r="M128" i="9"/>
  <c r="M127" i="9"/>
  <c r="M126" i="9"/>
  <c r="M125" i="9"/>
  <c r="M124" i="9"/>
  <c r="M123" i="9"/>
  <c r="M122" i="9"/>
  <c r="M121" i="9"/>
  <c r="M120" i="9"/>
  <c r="M119" i="9"/>
  <c r="M118" i="9"/>
  <c r="M117" i="9"/>
  <c r="M116" i="9"/>
  <c r="M115" i="9"/>
  <c r="M114" i="9"/>
  <c r="M113" i="9"/>
  <c r="M112" i="9"/>
  <c r="M111" i="9"/>
  <c r="M110" i="9"/>
  <c r="M109" i="9"/>
  <c r="M108" i="9"/>
  <c r="M107" i="9"/>
  <c r="M106" i="9"/>
  <c r="M105" i="9"/>
  <c r="M104" i="9"/>
  <c r="M103" i="9"/>
  <c r="M102" i="9"/>
  <c r="M101" i="9"/>
  <c r="M100" i="9"/>
  <c r="M99" i="9"/>
  <c r="M98" i="9"/>
  <c r="M97" i="9"/>
  <c r="M96" i="9"/>
  <c r="M95" i="9"/>
  <c r="M94" i="9"/>
  <c r="M93" i="9"/>
  <c r="M92" i="9"/>
  <c r="M91" i="9"/>
  <c r="M90" i="9"/>
  <c r="M89" i="9"/>
  <c r="M88" i="9"/>
  <c r="M87" i="9"/>
  <c r="M86" i="9"/>
  <c r="M85" i="9"/>
  <c r="M84" i="9"/>
  <c r="M83" i="9"/>
  <c r="M82" i="9"/>
  <c r="M81" i="9"/>
  <c r="M80" i="9"/>
  <c r="M79" i="9"/>
  <c r="M78" i="9"/>
  <c r="M77" i="9"/>
  <c r="M76" i="9"/>
  <c r="M75" i="9"/>
  <c r="M74" i="9"/>
  <c r="M73" i="9"/>
  <c r="M72" i="9"/>
  <c r="M71" i="9"/>
  <c r="M70" i="9"/>
  <c r="M69" i="9"/>
  <c r="M68" i="9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AB6" i="2"/>
  <c r="AB5" i="2"/>
  <c r="AB4" i="2"/>
  <c r="AA5" i="2"/>
  <c r="AA4" i="2"/>
  <c r="AA6" i="2"/>
  <c r="Z6" i="2"/>
  <c r="Y6" i="2"/>
  <c r="Y5" i="2"/>
  <c r="Y4" i="2"/>
  <c r="L5" i="2" a="1"/>
  <c r="L5" i="2" s="1"/>
  <c r="Q5" i="2" s="1"/>
  <c r="M5" i="2" a="1"/>
  <c r="M5" i="2" s="1"/>
  <c r="P5" i="2" s="1"/>
  <c r="N5" i="2" a="1"/>
  <c r="N5" i="2" s="1"/>
  <c r="N252" i="2" a="1"/>
  <c r="N252" i="2" s="1"/>
  <c r="M252" i="2" a="1"/>
  <c r="M252" i="2" s="1"/>
  <c r="P252" i="2" s="1"/>
  <c r="L252" i="2" a="1"/>
  <c r="L252" i="2" s="1"/>
  <c r="Q252" i="2" s="1"/>
  <c r="N251" i="2" a="1"/>
  <c r="N251" i="2" s="1"/>
  <c r="M251" i="2" a="1"/>
  <c r="M251" i="2" s="1"/>
  <c r="P251" i="2" s="1"/>
  <c r="L251" i="2" a="1"/>
  <c r="L251" i="2" s="1"/>
  <c r="Q251" i="2" s="1"/>
  <c r="N250" i="2" a="1"/>
  <c r="N250" i="2" s="1"/>
  <c r="M250" i="2" a="1"/>
  <c r="M250" i="2" s="1"/>
  <c r="P250" i="2" s="1"/>
  <c r="L250" i="2" a="1"/>
  <c r="L250" i="2" s="1"/>
  <c r="Q250" i="2" s="1"/>
  <c r="P249" i="2"/>
  <c r="N249" i="2" a="1"/>
  <c r="N249" i="2" s="1"/>
  <c r="M249" i="2" a="1"/>
  <c r="M249" i="2" s="1"/>
  <c r="L249" i="2" a="1"/>
  <c r="L249" i="2" s="1"/>
  <c r="Q249" i="2" s="1"/>
  <c r="N248" i="2" a="1"/>
  <c r="N248" i="2" s="1"/>
  <c r="M248" i="2" a="1"/>
  <c r="M248" i="2" s="1"/>
  <c r="P248" i="2" s="1"/>
  <c r="L248" i="2" a="1"/>
  <c r="L248" i="2" s="1"/>
  <c r="Q248" i="2" s="1"/>
  <c r="N247" i="2" a="1"/>
  <c r="N247" i="2" s="1"/>
  <c r="M247" i="2" a="1"/>
  <c r="M247" i="2" s="1"/>
  <c r="P247" i="2" s="1"/>
  <c r="L247" i="2" a="1"/>
  <c r="L247" i="2" s="1"/>
  <c r="Q247" i="2" s="1"/>
  <c r="N246" i="2" a="1"/>
  <c r="N246" i="2" s="1"/>
  <c r="M246" i="2" a="1"/>
  <c r="M246" i="2" s="1"/>
  <c r="P246" i="2" s="1"/>
  <c r="L246" i="2" a="1"/>
  <c r="L246" i="2" s="1"/>
  <c r="Q246" i="2" s="1"/>
  <c r="N245" i="2" a="1"/>
  <c r="N245" i="2" s="1"/>
  <c r="M245" i="2" a="1"/>
  <c r="M245" i="2" s="1"/>
  <c r="P245" i="2" s="1"/>
  <c r="L245" i="2"/>
  <c r="Q245" i="2" s="1"/>
  <c r="L245" i="2" a="1"/>
  <c r="N244" i="2" a="1"/>
  <c r="N244" i="2" s="1"/>
  <c r="M244" i="2" a="1"/>
  <c r="M244" i="2" s="1"/>
  <c r="P244" i="2" s="1"/>
  <c r="L244" i="2" a="1"/>
  <c r="L244" i="2" s="1"/>
  <c r="Q244" i="2" s="1"/>
  <c r="N243" i="2" a="1"/>
  <c r="N243" i="2" s="1"/>
  <c r="M243" i="2" a="1"/>
  <c r="M243" i="2" s="1"/>
  <c r="P243" i="2" s="1"/>
  <c r="L243" i="2" a="1"/>
  <c r="L243" i="2" s="1"/>
  <c r="Q243" i="2" s="1"/>
  <c r="N242" i="2" a="1"/>
  <c r="N242" i="2" s="1"/>
  <c r="M242" i="2" a="1"/>
  <c r="M242" i="2" s="1"/>
  <c r="P242" i="2" s="1"/>
  <c r="L242" i="2" a="1"/>
  <c r="L242" i="2" s="1"/>
  <c r="Q242" i="2" s="1"/>
  <c r="Q241" i="2"/>
  <c r="N241" i="2" a="1"/>
  <c r="N241" i="2" s="1"/>
  <c r="M241" i="2" a="1"/>
  <c r="M241" i="2" s="1"/>
  <c r="P241" i="2" s="1"/>
  <c r="L241" i="2"/>
  <c r="L241" i="2" a="1"/>
  <c r="N240" i="2" a="1"/>
  <c r="N240" i="2" s="1"/>
  <c r="M240" i="2" a="1"/>
  <c r="M240" i="2" s="1"/>
  <c r="P240" i="2" s="1"/>
  <c r="L240" i="2" a="1"/>
  <c r="L240" i="2" s="1"/>
  <c r="Q240" i="2" s="1"/>
  <c r="N239" i="2" a="1"/>
  <c r="N239" i="2" s="1"/>
  <c r="M239" i="2" a="1"/>
  <c r="M239" i="2" s="1"/>
  <c r="P239" i="2" s="1"/>
  <c r="L239" i="2" a="1"/>
  <c r="L239" i="2" s="1"/>
  <c r="Q239" i="2" s="1"/>
  <c r="N238" i="2" a="1"/>
  <c r="N238" i="2" s="1"/>
  <c r="M238" i="2" a="1"/>
  <c r="M238" i="2" s="1"/>
  <c r="P238" i="2" s="1"/>
  <c r="L238" i="2" a="1"/>
  <c r="L238" i="2" s="1"/>
  <c r="Q238" i="2" s="1"/>
  <c r="Q237" i="2"/>
  <c r="N237" i="2" a="1"/>
  <c r="N237" i="2" s="1"/>
  <c r="M237" i="2" a="1"/>
  <c r="M237" i="2" s="1"/>
  <c r="P237" i="2" s="1"/>
  <c r="L237" i="2" a="1"/>
  <c r="L237" i="2" s="1"/>
  <c r="N236" i="2" a="1"/>
  <c r="N236" i="2" s="1"/>
  <c r="M236" i="2" a="1"/>
  <c r="M236" i="2" s="1"/>
  <c r="P236" i="2" s="1"/>
  <c r="L236" i="2" a="1"/>
  <c r="L236" i="2" s="1"/>
  <c r="Q236" i="2" s="1"/>
  <c r="N235" i="2" a="1"/>
  <c r="N235" i="2" s="1"/>
  <c r="M235" i="2" a="1"/>
  <c r="M235" i="2" s="1"/>
  <c r="P235" i="2" s="1"/>
  <c r="L235" i="2" a="1"/>
  <c r="L235" i="2" s="1"/>
  <c r="Q235" i="2" s="1"/>
  <c r="N234" i="2" a="1"/>
  <c r="N234" i="2" s="1"/>
  <c r="M234" i="2" a="1"/>
  <c r="M234" i="2" s="1"/>
  <c r="P234" i="2" s="1"/>
  <c r="L234" i="2" a="1"/>
  <c r="L234" i="2" s="1"/>
  <c r="Q234" i="2" s="1"/>
  <c r="N233" i="2" a="1"/>
  <c r="N233" i="2" s="1"/>
  <c r="M233" i="2" a="1"/>
  <c r="M233" i="2" s="1"/>
  <c r="P233" i="2" s="1"/>
  <c r="L233" i="2" a="1"/>
  <c r="L233" i="2" s="1"/>
  <c r="Q233" i="2" s="1"/>
  <c r="N232" i="2" a="1"/>
  <c r="N232" i="2" s="1"/>
  <c r="M232" i="2" a="1"/>
  <c r="M232" i="2" s="1"/>
  <c r="P232" i="2" s="1"/>
  <c r="L232" i="2" a="1"/>
  <c r="L232" i="2" s="1"/>
  <c r="Q232" i="2" s="1"/>
  <c r="N231" i="2" a="1"/>
  <c r="N231" i="2" s="1"/>
  <c r="M231" i="2" a="1"/>
  <c r="M231" i="2" s="1"/>
  <c r="P231" i="2" s="1"/>
  <c r="L231" i="2" a="1"/>
  <c r="L231" i="2" s="1"/>
  <c r="Q231" i="2" s="1"/>
  <c r="N230" i="2" a="1"/>
  <c r="N230" i="2" s="1"/>
  <c r="M230" i="2" a="1"/>
  <c r="M230" i="2" s="1"/>
  <c r="P230" i="2" s="1"/>
  <c r="L230" i="2" a="1"/>
  <c r="L230" i="2" s="1"/>
  <c r="Q230" i="2" s="1"/>
  <c r="N229" i="2" a="1"/>
  <c r="N229" i="2" s="1"/>
  <c r="M229" i="2" a="1"/>
  <c r="M229" i="2" s="1"/>
  <c r="P229" i="2" s="1"/>
  <c r="L229" i="2" a="1"/>
  <c r="L229" i="2" s="1"/>
  <c r="Q229" i="2" s="1"/>
  <c r="N228" i="2" a="1"/>
  <c r="N228" i="2" s="1"/>
  <c r="M228" i="2" a="1"/>
  <c r="M228" i="2" s="1"/>
  <c r="P228" i="2" s="1"/>
  <c r="L228" i="2" a="1"/>
  <c r="L228" i="2" s="1"/>
  <c r="Q228" i="2" s="1"/>
  <c r="N227" i="2" a="1"/>
  <c r="N227" i="2" s="1"/>
  <c r="M227" i="2" a="1"/>
  <c r="M227" i="2" s="1"/>
  <c r="P227" i="2" s="1"/>
  <c r="L227" i="2" a="1"/>
  <c r="L227" i="2" s="1"/>
  <c r="Q227" i="2" s="1"/>
  <c r="N226" i="2" a="1"/>
  <c r="N226" i="2" s="1"/>
  <c r="M226" i="2" a="1"/>
  <c r="M226" i="2" s="1"/>
  <c r="P226" i="2" s="1"/>
  <c r="L226" i="2" a="1"/>
  <c r="L226" i="2" s="1"/>
  <c r="Q226" i="2" s="1"/>
  <c r="N225" i="2" a="1"/>
  <c r="N225" i="2" s="1"/>
  <c r="M225" i="2" a="1"/>
  <c r="M225" i="2" s="1"/>
  <c r="P225" i="2" s="1"/>
  <c r="L225" i="2" a="1"/>
  <c r="L225" i="2" s="1"/>
  <c r="Q225" i="2" s="1"/>
  <c r="N224" i="2" a="1"/>
  <c r="N224" i="2" s="1"/>
  <c r="M224" i="2"/>
  <c r="P224" i="2" s="1"/>
  <c r="M224" i="2" a="1"/>
  <c r="L224" i="2" a="1"/>
  <c r="L224" i="2" s="1"/>
  <c r="Q224" i="2" s="1"/>
  <c r="N223" i="2" a="1"/>
  <c r="N223" i="2" s="1"/>
  <c r="M223" i="2" a="1"/>
  <c r="M223" i="2" s="1"/>
  <c r="P223" i="2" s="1"/>
  <c r="L223" i="2" a="1"/>
  <c r="L223" i="2" s="1"/>
  <c r="Q223" i="2" s="1"/>
  <c r="N222" i="2" a="1"/>
  <c r="N222" i="2" s="1"/>
  <c r="M222" i="2" a="1"/>
  <c r="M222" i="2" s="1"/>
  <c r="P222" i="2" s="1"/>
  <c r="L222" i="2" a="1"/>
  <c r="L222" i="2" s="1"/>
  <c r="Q222" i="2" s="1"/>
  <c r="N221" i="2" a="1"/>
  <c r="N221" i="2" s="1"/>
  <c r="M221" i="2" a="1"/>
  <c r="M221" i="2" s="1"/>
  <c r="P221" i="2" s="1"/>
  <c r="R221" i="2" s="1"/>
  <c r="L221" i="2" a="1"/>
  <c r="L221" i="2" s="1"/>
  <c r="Q221" i="2" s="1"/>
  <c r="N220" i="2" a="1"/>
  <c r="N220" i="2" s="1"/>
  <c r="M220" i="2" a="1"/>
  <c r="M220" i="2" s="1"/>
  <c r="P220" i="2" s="1"/>
  <c r="L220" i="2"/>
  <c r="Q220" i="2" s="1"/>
  <c r="L220" i="2" a="1"/>
  <c r="N219" i="2" a="1"/>
  <c r="N219" i="2" s="1"/>
  <c r="M219" i="2" a="1"/>
  <c r="M219" i="2" s="1"/>
  <c r="P219" i="2" s="1"/>
  <c r="L219" i="2" a="1"/>
  <c r="L219" i="2" s="1"/>
  <c r="Q219" i="2" s="1"/>
  <c r="N218" i="2" a="1"/>
  <c r="N218" i="2" s="1"/>
  <c r="M218" i="2" a="1"/>
  <c r="M218" i="2" s="1"/>
  <c r="P218" i="2" s="1"/>
  <c r="L218" i="2" a="1"/>
  <c r="L218" i="2" s="1"/>
  <c r="Q218" i="2" s="1"/>
  <c r="N217" i="2" a="1"/>
  <c r="N217" i="2" s="1"/>
  <c r="M217" i="2" a="1"/>
  <c r="M217" i="2" s="1"/>
  <c r="P217" i="2" s="1"/>
  <c r="L217" i="2" a="1"/>
  <c r="L217" i="2" s="1"/>
  <c r="Q217" i="2" s="1"/>
  <c r="N216" i="2" a="1"/>
  <c r="N216" i="2" s="1"/>
  <c r="M216" i="2" a="1"/>
  <c r="M216" i="2" s="1"/>
  <c r="P216" i="2" s="1"/>
  <c r="L216" i="2" a="1"/>
  <c r="L216" i="2" s="1"/>
  <c r="Q216" i="2" s="1"/>
  <c r="N215" i="2" a="1"/>
  <c r="N215" i="2" s="1"/>
  <c r="M215" i="2" a="1"/>
  <c r="M215" i="2" s="1"/>
  <c r="P215" i="2" s="1"/>
  <c r="L215" i="2" a="1"/>
  <c r="L215" i="2" s="1"/>
  <c r="Q215" i="2" s="1"/>
  <c r="N214" i="2" a="1"/>
  <c r="N214" i="2" s="1"/>
  <c r="M214" i="2" a="1"/>
  <c r="M214" i="2" s="1"/>
  <c r="P214" i="2" s="1"/>
  <c r="L214" i="2" a="1"/>
  <c r="L214" i="2" s="1"/>
  <c r="Q214" i="2" s="1"/>
  <c r="N213" i="2"/>
  <c r="N213" i="2" a="1"/>
  <c r="M213" i="2" a="1"/>
  <c r="M213" i="2" s="1"/>
  <c r="P213" i="2" s="1"/>
  <c r="L213" i="2" a="1"/>
  <c r="L213" i="2" s="1"/>
  <c r="Q213" i="2" s="1"/>
  <c r="N212" i="2" a="1"/>
  <c r="N212" i="2" s="1"/>
  <c r="M212" i="2" a="1"/>
  <c r="M212" i="2" s="1"/>
  <c r="P212" i="2" s="1"/>
  <c r="L212" i="2" a="1"/>
  <c r="L212" i="2" s="1"/>
  <c r="Q212" i="2" s="1"/>
  <c r="Q211" i="2"/>
  <c r="N211" i="2" a="1"/>
  <c r="N211" i="2" s="1"/>
  <c r="M211" i="2" a="1"/>
  <c r="M211" i="2" s="1"/>
  <c r="P211" i="2" s="1"/>
  <c r="L211" i="2" a="1"/>
  <c r="L211" i="2" s="1"/>
  <c r="N210" i="2" a="1"/>
  <c r="N210" i="2" s="1"/>
  <c r="M210" i="2" a="1"/>
  <c r="M210" i="2" s="1"/>
  <c r="P210" i="2" s="1"/>
  <c r="L210" i="2" a="1"/>
  <c r="L210" i="2" s="1"/>
  <c r="Q210" i="2" s="1"/>
  <c r="N209" i="2" a="1"/>
  <c r="N209" i="2" s="1"/>
  <c r="M209" i="2" a="1"/>
  <c r="M209" i="2" s="1"/>
  <c r="P209" i="2" s="1"/>
  <c r="L209" i="2" a="1"/>
  <c r="L209" i="2" s="1"/>
  <c r="Q209" i="2" s="1"/>
  <c r="Q208" i="2"/>
  <c r="N208" i="2" a="1"/>
  <c r="N208" i="2" s="1"/>
  <c r="M208" i="2" a="1"/>
  <c r="M208" i="2" s="1"/>
  <c r="P208" i="2" s="1"/>
  <c r="R208" i="2" s="1"/>
  <c r="L208" i="2" a="1"/>
  <c r="L208" i="2" s="1"/>
  <c r="N207" i="2" a="1"/>
  <c r="N207" i="2" s="1"/>
  <c r="M207" i="2" a="1"/>
  <c r="M207" i="2" s="1"/>
  <c r="P207" i="2" s="1"/>
  <c r="L207" i="2" a="1"/>
  <c r="L207" i="2" s="1"/>
  <c r="Q207" i="2" s="1"/>
  <c r="N206" i="2" a="1"/>
  <c r="N206" i="2" s="1"/>
  <c r="M206" i="2" a="1"/>
  <c r="M206" i="2" s="1"/>
  <c r="P206" i="2" s="1"/>
  <c r="L206" i="2" a="1"/>
  <c r="L206" i="2" s="1"/>
  <c r="Q206" i="2" s="1"/>
  <c r="N205" i="2" a="1"/>
  <c r="N205" i="2" s="1"/>
  <c r="M205" i="2" a="1"/>
  <c r="M205" i="2" s="1"/>
  <c r="P205" i="2" s="1"/>
  <c r="L205" i="2" a="1"/>
  <c r="L205" i="2" s="1"/>
  <c r="Q205" i="2" s="1"/>
  <c r="N204" i="2" a="1"/>
  <c r="N204" i="2" s="1"/>
  <c r="M204" i="2" a="1"/>
  <c r="M204" i="2" s="1"/>
  <c r="P204" i="2" s="1"/>
  <c r="L204" i="2" a="1"/>
  <c r="L204" i="2" s="1"/>
  <c r="Q204" i="2" s="1"/>
  <c r="N203" i="2" a="1"/>
  <c r="N203" i="2" s="1"/>
  <c r="M203" i="2" a="1"/>
  <c r="M203" i="2" s="1"/>
  <c r="P203" i="2" s="1"/>
  <c r="L203" i="2" a="1"/>
  <c r="L203" i="2" s="1"/>
  <c r="Q203" i="2" s="1"/>
  <c r="N202" i="2" a="1"/>
  <c r="N202" i="2" s="1"/>
  <c r="M202" i="2" a="1"/>
  <c r="M202" i="2" s="1"/>
  <c r="P202" i="2" s="1"/>
  <c r="L202" i="2" a="1"/>
  <c r="L202" i="2" s="1"/>
  <c r="Q202" i="2" s="1"/>
  <c r="N201" i="2" a="1"/>
  <c r="N201" i="2" s="1"/>
  <c r="M201" i="2" a="1"/>
  <c r="M201" i="2" s="1"/>
  <c r="P201" i="2" s="1"/>
  <c r="L201" i="2" a="1"/>
  <c r="L201" i="2" s="1"/>
  <c r="Q201" i="2" s="1"/>
  <c r="N200" i="2" a="1"/>
  <c r="N200" i="2" s="1"/>
  <c r="M200" i="2" a="1"/>
  <c r="M200" i="2" s="1"/>
  <c r="P200" i="2" s="1"/>
  <c r="L200" i="2" a="1"/>
  <c r="L200" i="2" s="1"/>
  <c r="Q200" i="2" s="1"/>
  <c r="R200" i="2" s="1"/>
  <c r="N199" i="2" a="1"/>
  <c r="N199" i="2" s="1"/>
  <c r="M199" i="2" a="1"/>
  <c r="M199" i="2" s="1"/>
  <c r="P199" i="2" s="1"/>
  <c r="L199" i="2" a="1"/>
  <c r="L199" i="2" s="1"/>
  <c r="Q199" i="2" s="1"/>
  <c r="N198" i="2" a="1"/>
  <c r="N198" i="2" s="1"/>
  <c r="M198" i="2" a="1"/>
  <c r="M198" i="2" s="1"/>
  <c r="P198" i="2" s="1"/>
  <c r="L198" i="2" a="1"/>
  <c r="L198" i="2" s="1"/>
  <c r="Q198" i="2" s="1"/>
  <c r="N197" i="2" a="1"/>
  <c r="N197" i="2" s="1"/>
  <c r="M197" i="2" a="1"/>
  <c r="M197" i="2" s="1"/>
  <c r="P197" i="2" s="1"/>
  <c r="L197" i="2" a="1"/>
  <c r="L197" i="2" s="1"/>
  <c r="Q197" i="2" s="1"/>
  <c r="N196" i="2" a="1"/>
  <c r="N196" i="2" s="1"/>
  <c r="M196" i="2" a="1"/>
  <c r="M196" i="2" s="1"/>
  <c r="P196" i="2" s="1"/>
  <c r="L196" i="2" a="1"/>
  <c r="L196" i="2" s="1"/>
  <c r="Q196" i="2" s="1"/>
  <c r="N195" i="2" a="1"/>
  <c r="N195" i="2" s="1"/>
  <c r="M195" i="2" a="1"/>
  <c r="M195" i="2" s="1"/>
  <c r="P195" i="2" s="1"/>
  <c r="R195" i="2" s="1"/>
  <c r="L195" i="2" a="1"/>
  <c r="L195" i="2" s="1"/>
  <c r="Q195" i="2" s="1"/>
  <c r="N194" i="2" a="1"/>
  <c r="N194" i="2" s="1"/>
  <c r="M194" i="2" a="1"/>
  <c r="M194" i="2" s="1"/>
  <c r="P194" i="2" s="1"/>
  <c r="L194" i="2" a="1"/>
  <c r="L194" i="2" s="1"/>
  <c r="Q194" i="2" s="1"/>
  <c r="N193" i="2" a="1"/>
  <c r="N193" i="2" s="1"/>
  <c r="M193" i="2" a="1"/>
  <c r="M193" i="2" s="1"/>
  <c r="P193" i="2" s="1"/>
  <c r="L193" i="2" a="1"/>
  <c r="L193" i="2" s="1"/>
  <c r="Q193" i="2" s="1"/>
  <c r="N192" i="2" a="1"/>
  <c r="N192" i="2" s="1"/>
  <c r="M192" i="2" a="1"/>
  <c r="M192" i="2" s="1"/>
  <c r="P192" i="2" s="1"/>
  <c r="L192" i="2" a="1"/>
  <c r="L192" i="2" s="1"/>
  <c r="Q192" i="2" s="1"/>
  <c r="N191" i="2" a="1"/>
  <c r="N191" i="2" s="1"/>
  <c r="M191" i="2" a="1"/>
  <c r="M191" i="2" s="1"/>
  <c r="P191" i="2" s="1"/>
  <c r="R191" i="2" s="1"/>
  <c r="L191" i="2" a="1"/>
  <c r="L191" i="2" s="1"/>
  <c r="Q191" i="2" s="1"/>
  <c r="Q190" i="2"/>
  <c r="N190" i="2" a="1"/>
  <c r="N190" i="2" s="1"/>
  <c r="M190" i="2" a="1"/>
  <c r="M190" i="2" s="1"/>
  <c r="P190" i="2" s="1"/>
  <c r="L190" i="2" a="1"/>
  <c r="L190" i="2" s="1"/>
  <c r="N189" i="2" a="1"/>
  <c r="N189" i="2" s="1"/>
  <c r="M189" i="2" a="1"/>
  <c r="M189" i="2" s="1"/>
  <c r="P189" i="2" s="1"/>
  <c r="L189" i="2" a="1"/>
  <c r="L189" i="2" s="1"/>
  <c r="Q189" i="2" s="1"/>
  <c r="N188" i="2" a="1"/>
  <c r="N188" i="2" s="1"/>
  <c r="M188" i="2" a="1"/>
  <c r="M188" i="2" s="1"/>
  <c r="P188" i="2" s="1"/>
  <c r="L188" i="2" a="1"/>
  <c r="L188" i="2" s="1"/>
  <c r="Q188" i="2" s="1"/>
  <c r="N187" i="2" a="1"/>
  <c r="N187" i="2" s="1"/>
  <c r="M187" i="2" a="1"/>
  <c r="M187" i="2" s="1"/>
  <c r="P187" i="2" s="1"/>
  <c r="L187" i="2" a="1"/>
  <c r="L187" i="2" s="1"/>
  <c r="Q187" i="2" s="1"/>
  <c r="P186" i="2"/>
  <c r="N186" i="2" a="1"/>
  <c r="N186" i="2" s="1"/>
  <c r="M186" i="2" a="1"/>
  <c r="M186" i="2" s="1"/>
  <c r="L186" i="2" a="1"/>
  <c r="L186" i="2" s="1"/>
  <c r="Q186" i="2" s="1"/>
  <c r="N185" i="2" a="1"/>
  <c r="N185" i="2" s="1"/>
  <c r="M185" i="2" a="1"/>
  <c r="M185" i="2" s="1"/>
  <c r="P185" i="2" s="1"/>
  <c r="L185" i="2" a="1"/>
  <c r="L185" i="2" s="1"/>
  <c r="Q185" i="2" s="1"/>
  <c r="N184" i="2" a="1"/>
  <c r="N184" i="2" s="1"/>
  <c r="M184" i="2" a="1"/>
  <c r="M184" i="2" s="1"/>
  <c r="P184" i="2" s="1"/>
  <c r="L184" i="2" a="1"/>
  <c r="L184" i="2" s="1"/>
  <c r="Q184" i="2" s="1"/>
  <c r="N183" i="2" a="1"/>
  <c r="N183" i="2" s="1"/>
  <c r="M183" i="2" a="1"/>
  <c r="M183" i="2" s="1"/>
  <c r="P183" i="2" s="1"/>
  <c r="L183" i="2" a="1"/>
  <c r="L183" i="2" s="1"/>
  <c r="Q183" i="2" s="1"/>
  <c r="N182" i="2" a="1"/>
  <c r="N182" i="2" s="1"/>
  <c r="M182" i="2"/>
  <c r="P182" i="2" s="1"/>
  <c r="M182" i="2" a="1"/>
  <c r="L182" i="2" a="1"/>
  <c r="L182" i="2" s="1"/>
  <c r="Q182" i="2" s="1"/>
  <c r="N181" i="2" a="1"/>
  <c r="N181" i="2" s="1"/>
  <c r="M181" i="2" a="1"/>
  <c r="M181" i="2" s="1"/>
  <c r="P181" i="2" s="1"/>
  <c r="L181" i="2" a="1"/>
  <c r="L181" i="2" s="1"/>
  <c r="Q181" i="2" s="1"/>
  <c r="N180" i="2" a="1"/>
  <c r="N180" i="2" s="1"/>
  <c r="M180" i="2" a="1"/>
  <c r="M180" i="2" s="1"/>
  <c r="P180" i="2" s="1"/>
  <c r="L180" i="2" a="1"/>
  <c r="L180" i="2" s="1"/>
  <c r="Q180" i="2" s="1"/>
  <c r="N179" i="2" a="1"/>
  <c r="N179" i="2" s="1"/>
  <c r="M179" i="2" a="1"/>
  <c r="M179" i="2" s="1"/>
  <c r="P179" i="2" s="1"/>
  <c r="L179" i="2"/>
  <c r="Q179" i="2" s="1"/>
  <c r="L179" i="2" a="1"/>
  <c r="N178" i="2" a="1"/>
  <c r="N178" i="2" s="1"/>
  <c r="M178" i="2" a="1"/>
  <c r="M178" i="2" s="1"/>
  <c r="P178" i="2" s="1"/>
  <c r="L178" i="2" a="1"/>
  <c r="L178" i="2" s="1"/>
  <c r="Q178" i="2" s="1"/>
  <c r="N177" i="2" a="1"/>
  <c r="N177" i="2" s="1"/>
  <c r="M177" i="2" a="1"/>
  <c r="M177" i="2" s="1"/>
  <c r="P177" i="2" s="1"/>
  <c r="L177" i="2"/>
  <c r="Q177" i="2" s="1"/>
  <c r="L177" i="2" a="1"/>
  <c r="N176" i="2" a="1"/>
  <c r="N176" i="2" s="1"/>
  <c r="M176" i="2" a="1"/>
  <c r="M176" i="2" s="1"/>
  <c r="P176" i="2" s="1"/>
  <c r="L176" i="2" a="1"/>
  <c r="L176" i="2" s="1"/>
  <c r="Q176" i="2" s="1"/>
  <c r="N175" i="2" a="1"/>
  <c r="N175" i="2" s="1"/>
  <c r="M175" i="2"/>
  <c r="P175" i="2" s="1"/>
  <c r="M175" i="2" a="1"/>
  <c r="L175" i="2" a="1"/>
  <c r="L175" i="2" s="1"/>
  <c r="Q175" i="2" s="1"/>
  <c r="N174" i="2" a="1"/>
  <c r="N174" i="2" s="1"/>
  <c r="M174" i="2" a="1"/>
  <c r="M174" i="2" s="1"/>
  <c r="P174" i="2" s="1"/>
  <c r="L174" i="2" a="1"/>
  <c r="L174" i="2" s="1"/>
  <c r="Q174" i="2" s="1"/>
  <c r="N173" i="2" a="1"/>
  <c r="N173" i="2" s="1"/>
  <c r="M173" i="2" a="1"/>
  <c r="M173" i="2" s="1"/>
  <c r="P173" i="2" s="1"/>
  <c r="L173" i="2" a="1"/>
  <c r="L173" i="2" s="1"/>
  <c r="Q173" i="2" s="1"/>
  <c r="N172" i="2" a="1"/>
  <c r="N172" i="2" s="1"/>
  <c r="M172" i="2" a="1"/>
  <c r="M172" i="2" s="1"/>
  <c r="P172" i="2" s="1"/>
  <c r="L172" i="2" a="1"/>
  <c r="L172" i="2" s="1"/>
  <c r="Q172" i="2" s="1"/>
  <c r="N171" i="2" a="1"/>
  <c r="N171" i="2" s="1"/>
  <c r="M171" i="2" a="1"/>
  <c r="M171" i="2" s="1"/>
  <c r="P171" i="2" s="1"/>
  <c r="R171" i="2" s="1"/>
  <c r="L171" i="2"/>
  <c r="Q171" i="2" s="1"/>
  <c r="L171" i="2" a="1"/>
  <c r="N170" i="2" a="1"/>
  <c r="N170" i="2" s="1"/>
  <c r="M170" i="2" a="1"/>
  <c r="M170" i="2" s="1"/>
  <c r="P170" i="2" s="1"/>
  <c r="L170" i="2" a="1"/>
  <c r="L170" i="2" s="1"/>
  <c r="Q170" i="2" s="1"/>
  <c r="N169" i="2" a="1"/>
  <c r="N169" i="2" s="1"/>
  <c r="M169" i="2" a="1"/>
  <c r="M169" i="2" s="1"/>
  <c r="P169" i="2" s="1"/>
  <c r="L169" i="2" a="1"/>
  <c r="L169" i="2" s="1"/>
  <c r="Q169" i="2" s="1"/>
  <c r="N168" i="2" a="1"/>
  <c r="N168" i="2" s="1"/>
  <c r="M168" i="2" a="1"/>
  <c r="M168" i="2" s="1"/>
  <c r="P168" i="2" s="1"/>
  <c r="L168" i="2" a="1"/>
  <c r="L168" i="2" s="1"/>
  <c r="Q168" i="2" s="1"/>
  <c r="N167" i="2" a="1"/>
  <c r="N167" i="2" s="1"/>
  <c r="M167" i="2" a="1"/>
  <c r="M167" i="2" s="1"/>
  <c r="P167" i="2" s="1"/>
  <c r="L167" i="2" a="1"/>
  <c r="L167" i="2" s="1"/>
  <c r="Q167" i="2" s="1"/>
  <c r="N166" i="2" a="1"/>
  <c r="N166" i="2" s="1"/>
  <c r="M166" i="2" a="1"/>
  <c r="M166" i="2" s="1"/>
  <c r="P166" i="2" s="1"/>
  <c r="L166" i="2" a="1"/>
  <c r="L166" i="2" s="1"/>
  <c r="Q166" i="2" s="1"/>
  <c r="N165" i="2" a="1"/>
  <c r="N165" i="2" s="1"/>
  <c r="M165" i="2" a="1"/>
  <c r="M165" i="2" s="1"/>
  <c r="P165" i="2" s="1"/>
  <c r="L165" i="2" a="1"/>
  <c r="L165" i="2" s="1"/>
  <c r="Q165" i="2" s="1"/>
  <c r="N164" i="2" a="1"/>
  <c r="N164" i="2" s="1"/>
  <c r="M164" i="2" a="1"/>
  <c r="M164" i="2" s="1"/>
  <c r="P164" i="2" s="1"/>
  <c r="L164" i="2" a="1"/>
  <c r="L164" i="2" s="1"/>
  <c r="Q164" i="2" s="1"/>
  <c r="N163" i="2" a="1"/>
  <c r="N163" i="2" s="1"/>
  <c r="M163" i="2" a="1"/>
  <c r="M163" i="2" s="1"/>
  <c r="P163" i="2" s="1"/>
  <c r="L163" i="2" a="1"/>
  <c r="L163" i="2" s="1"/>
  <c r="Q163" i="2" s="1"/>
  <c r="P162" i="2"/>
  <c r="N162" i="2" a="1"/>
  <c r="N162" i="2" s="1"/>
  <c r="M162" i="2" a="1"/>
  <c r="M162" i="2" s="1"/>
  <c r="L162" i="2" a="1"/>
  <c r="L162" i="2" s="1"/>
  <c r="Q162" i="2" s="1"/>
  <c r="N161" i="2" a="1"/>
  <c r="N161" i="2" s="1"/>
  <c r="M161" i="2" a="1"/>
  <c r="M161" i="2" s="1"/>
  <c r="P161" i="2" s="1"/>
  <c r="L161" i="2" a="1"/>
  <c r="L161" i="2" s="1"/>
  <c r="Q161" i="2" s="1"/>
  <c r="N160" i="2" a="1"/>
  <c r="N160" i="2" s="1"/>
  <c r="M160" i="2" a="1"/>
  <c r="M160" i="2" s="1"/>
  <c r="P160" i="2" s="1"/>
  <c r="L160" i="2" a="1"/>
  <c r="L160" i="2" s="1"/>
  <c r="Q160" i="2" s="1"/>
  <c r="N159" i="2" a="1"/>
  <c r="N159" i="2" s="1"/>
  <c r="M159" i="2" a="1"/>
  <c r="M159" i="2" s="1"/>
  <c r="P159" i="2" s="1"/>
  <c r="L159" i="2" a="1"/>
  <c r="L159" i="2" s="1"/>
  <c r="Q159" i="2" s="1"/>
  <c r="Q158" i="2"/>
  <c r="N158" i="2"/>
  <c r="N158" i="2" a="1"/>
  <c r="M158" i="2" a="1"/>
  <c r="M158" i="2" s="1"/>
  <c r="P158" i="2" s="1"/>
  <c r="L158" i="2" a="1"/>
  <c r="L158" i="2" s="1"/>
  <c r="N157" i="2" a="1"/>
  <c r="N157" i="2" s="1"/>
  <c r="M157" i="2" a="1"/>
  <c r="M157" i="2" s="1"/>
  <c r="P157" i="2" s="1"/>
  <c r="L157" i="2"/>
  <c r="Q157" i="2" s="1"/>
  <c r="L157" i="2" a="1"/>
  <c r="N156" i="2" a="1"/>
  <c r="N156" i="2" s="1"/>
  <c r="M156" i="2" a="1"/>
  <c r="M156" i="2" s="1"/>
  <c r="P156" i="2" s="1"/>
  <c r="L156" i="2" a="1"/>
  <c r="L156" i="2" s="1"/>
  <c r="Q156" i="2" s="1"/>
  <c r="N155" i="2" a="1"/>
  <c r="N155" i="2" s="1"/>
  <c r="M155" i="2" a="1"/>
  <c r="M155" i="2" s="1"/>
  <c r="P155" i="2" s="1"/>
  <c r="L155" i="2"/>
  <c r="Q155" i="2" s="1"/>
  <c r="L155" i="2" a="1"/>
  <c r="N154" i="2" a="1"/>
  <c r="N154" i="2" s="1"/>
  <c r="M154" i="2" a="1"/>
  <c r="M154" i="2" s="1"/>
  <c r="P154" i="2" s="1"/>
  <c r="L154" i="2" a="1"/>
  <c r="L154" i="2" s="1"/>
  <c r="Q154" i="2" s="1"/>
  <c r="N153" i="2" a="1"/>
  <c r="N153" i="2" s="1"/>
  <c r="M153" i="2" a="1"/>
  <c r="M153" i="2" s="1"/>
  <c r="P153" i="2" s="1"/>
  <c r="L153" i="2" a="1"/>
  <c r="L153" i="2" s="1"/>
  <c r="Q153" i="2" s="1"/>
  <c r="N152" i="2" a="1"/>
  <c r="N152" i="2" s="1"/>
  <c r="M152" i="2" a="1"/>
  <c r="M152" i="2" s="1"/>
  <c r="P152" i="2" s="1"/>
  <c r="L152" i="2" a="1"/>
  <c r="L152" i="2" s="1"/>
  <c r="Q152" i="2" s="1"/>
  <c r="N151" i="2" a="1"/>
  <c r="N151" i="2" s="1"/>
  <c r="M151" i="2" a="1"/>
  <c r="M151" i="2" s="1"/>
  <c r="P151" i="2" s="1"/>
  <c r="L151" i="2" a="1"/>
  <c r="L151" i="2" s="1"/>
  <c r="Q151" i="2" s="1"/>
  <c r="N150" i="2" a="1"/>
  <c r="N150" i="2" s="1"/>
  <c r="M150" i="2" a="1"/>
  <c r="M150" i="2" s="1"/>
  <c r="P150" i="2" s="1"/>
  <c r="R150" i="2" s="1"/>
  <c r="L150" i="2"/>
  <c r="Q150" i="2" s="1"/>
  <c r="L150" i="2" a="1"/>
  <c r="N149" i="2" a="1"/>
  <c r="N149" i="2" s="1"/>
  <c r="M149" i="2" a="1"/>
  <c r="M149" i="2" s="1"/>
  <c r="P149" i="2" s="1"/>
  <c r="L149" i="2" a="1"/>
  <c r="L149" i="2" s="1"/>
  <c r="Q149" i="2" s="1"/>
  <c r="N148" i="2" a="1"/>
  <c r="N148" i="2" s="1"/>
  <c r="M148" i="2" a="1"/>
  <c r="M148" i="2" s="1"/>
  <c r="P148" i="2" s="1"/>
  <c r="L148" i="2" a="1"/>
  <c r="L148" i="2" s="1"/>
  <c r="Q148" i="2" s="1"/>
  <c r="N147" i="2" a="1"/>
  <c r="N147" i="2" s="1"/>
  <c r="M147" i="2" a="1"/>
  <c r="M147" i="2" s="1"/>
  <c r="P147" i="2" s="1"/>
  <c r="L147" i="2" a="1"/>
  <c r="L147" i="2" s="1"/>
  <c r="Q147" i="2" s="1"/>
  <c r="N146" i="2" a="1"/>
  <c r="N146" i="2" s="1"/>
  <c r="M146" i="2" a="1"/>
  <c r="M146" i="2" s="1"/>
  <c r="P146" i="2" s="1"/>
  <c r="L146" i="2" a="1"/>
  <c r="L146" i="2" s="1"/>
  <c r="Q146" i="2" s="1"/>
  <c r="N145" i="2" a="1"/>
  <c r="N145" i="2" s="1"/>
  <c r="M145" i="2" a="1"/>
  <c r="M145" i="2" s="1"/>
  <c r="P145" i="2" s="1"/>
  <c r="L145" i="2" a="1"/>
  <c r="L145" i="2" s="1"/>
  <c r="Q145" i="2" s="1"/>
  <c r="N144" i="2" a="1"/>
  <c r="N144" i="2" s="1"/>
  <c r="M144" i="2" a="1"/>
  <c r="M144" i="2" s="1"/>
  <c r="P144" i="2" s="1"/>
  <c r="L144" i="2" a="1"/>
  <c r="L144" i="2" s="1"/>
  <c r="Q144" i="2" s="1"/>
  <c r="N143" i="2" a="1"/>
  <c r="N143" i="2" s="1"/>
  <c r="M143" i="2" a="1"/>
  <c r="M143" i="2" s="1"/>
  <c r="P143" i="2" s="1"/>
  <c r="L143" i="2" a="1"/>
  <c r="L143" i="2" s="1"/>
  <c r="Q143" i="2" s="1"/>
  <c r="Q142" i="2"/>
  <c r="N142" i="2"/>
  <c r="N142" i="2" a="1"/>
  <c r="M142" i="2" a="1"/>
  <c r="M142" i="2" s="1"/>
  <c r="P142" i="2" s="1"/>
  <c r="L142" i="2" a="1"/>
  <c r="L142" i="2" s="1"/>
  <c r="N141" i="2" a="1"/>
  <c r="N141" i="2" s="1"/>
  <c r="M141" i="2" a="1"/>
  <c r="M141" i="2" s="1"/>
  <c r="P141" i="2" s="1"/>
  <c r="L141" i="2"/>
  <c r="Q141" i="2" s="1"/>
  <c r="L141" i="2" a="1"/>
  <c r="N140" i="2" a="1"/>
  <c r="N140" i="2" s="1"/>
  <c r="M140" i="2" a="1"/>
  <c r="M140" i="2" s="1"/>
  <c r="P140" i="2" s="1"/>
  <c r="L140" i="2" a="1"/>
  <c r="L140" i="2" s="1"/>
  <c r="Q140" i="2" s="1"/>
  <c r="N139" i="2" a="1"/>
  <c r="N139" i="2" s="1"/>
  <c r="M139" i="2" a="1"/>
  <c r="M139" i="2" s="1"/>
  <c r="P139" i="2" s="1"/>
  <c r="L139" i="2" a="1"/>
  <c r="L139" i="2" s="1"/>
  <c r="Q139" i="2" s="1"/>
  <c r="N138" i="2" a="1"/>
  <c r="N138" i="2" s="1"/>
  <c r="M138" i="2" a="1"/>
  <c r="M138" i="2" s="1"/>
  <c r="P138" i="2" s="1"/>
  <c r="L138" i="2" a="1"/>
  <c r="L138" i="2" s="1"/>
  <c r="Q138" i="2" s="1"/>
  <c r="N137" i="2" a="1"/>
  <c r="N137" i="2" s="1"/>
  <c r="M137" i="2" a="1"/>
  <c r="M137" i="2" s="1"/>
  <c r="P137" i="2" s="1"/>
  <c r="L137" i="2"/>
  <c r="Q137" i="2" s="1"/>
  <c r="L137" i="2" a="1"/>
  <c r="N136" i="2" a="1"/>
  <c r="N136" i="2" s="1"/>
  <c r="M136" i="2" a="1"/>
  <c r="M136" i="2" s="1"/>
  <c r="P136" i="2" s="1"/>
  <c r="R136" i="2" s="1"/>
  <c r="L136" i="2" a="1"/>
  <c r="L136" i="2" s="1"/>
  <c r="Q136" i="2" s="1"/>
  <c r="Q135" i="2"/>
  <c r="N135" i="2" a="1"/>
  <c r="N135" i="2" s="1"/>
  <c r="M135" i="2"/>
  <c r="P135" i="2" s="1"/>
  <c r="R135" i="2" s="1"/>
  <c r="M135" i="2" a="1"/>
  <c r="L135" i="2" a="1"/>
  <c r="L135" i="2" s="1"/>
  <c r="N134" i="2" a="1"/>
  <c r="N134" i="2" s="1"/>
  <c r="M134" i="2" a="1"/>
  <c r="M134" i="2" s="1"/>
  <c r="P134" i="2" s="1"/>
  <c r="L134" i="2" a="1"/>
  <c r="L134" i="2" s="1"/>
  <c r="Q134" i="2" s="1"/>
  <c r="N133" i="2" a="1"/>
  <c r="N133" i="2" s="1"/>
  <c r="M133" i="2" a="1"/>
  <c r="M133" i="2" s="1"/>
  <c r="P133" i="2" s="1"/>
  <c r="L133" i="2" a="1"/>
  <c r="L133" i="2" s="1"/>
  <c r="Q133" i="2" s="1"/>
  <c r="N132" i="2" a="1"/>
  <c r="N132" i="2" s="1"/>
  <c r="M132" i="2" a="1"/>
  <c r="M132" i="2" s="1"/>
  <c r="P132" i="2" s="1"/>
  <c r="L132" i="2" a="1"/>
  <c r="L132" i="2" s="1"/>
  <c r="Q132" i="2" s="1"/>
  <c r="N131" i="2" a="1"/>
  <c r="N131" i="2" s="1"/>
  <c r="M131" i="2" a="1"/>
  <c r="M131" i="2" s="1"/>
  <c r="P131" i="2" s="1"/>
  <c r="L131" i="2" a="1"/>
  <c r="L131" i="2" s="1"/>
  <c r="Q131" i="2" s="1"/>
  <c r="N130" i="2" a="1"/>
  <c r="N130" i="2" s="1"/>
  <c r="M130" i="2" a="1"/>
  <c r="M130" i="2" s="1"/>
  <c r="P130" i="2" s="1"/>
  <c r="L130" i="2"/>
  <c r="Q130" i="2" s="1"/>
  <c r="L130" i="2" a="1"/>
  <c r="N129" i="2" a="1"/>
  <c r="N129" i="2" s="1"/>
  <c r="M129" i="2" a="1"/>
  <c r="M129" i="2" s="1"/>
  <c r="P129" i="2" s="1"/>
  <c r="L129" i="2" a="1"/>
  <c r="L129" i="2" s="1"/>
  <c r="Q129" i="2" s="1"/>
  <c r="N128" i="2" a="1"/>
  <c r="N128" i="2" s="1"/>
  <c r="M128" i="2" a="1"/>
  <c r="M128" i="2" s="1"/>
  <c r="P128" i="2" s="1"/>
  <c r="L128" i="2" a="1"/>
  <c r="L128" i="2" s="1"/>
  <c r="Q128" i="2" s="1"/>
  <c r="N127" i="2" a="1"/>
  <c r="N127" i="2" s="1"/>
  <c r="M127" i="2" a="1"/>
  <c r="M127" i="2" s="1"/>
  <c r="P127" i="2" s="1"/>
  <c r="L127" i="2" a="1"/>
  <c r="L127" i="2" s="1"/>
  <c r="Q127" i="2" s="1"/>
  <c r="Q126" i="2"/>
  <c r="P126" i="2"/>
  <c r="N126" i="2"/>
  <c r="N126" i="2" a="1"/>
  <c r="M126" i="2" a="1"/>
  <c r="M126" i="2" s="1"/>
  <c r="L126" i="2" a="1"/>
  <c r="L126" i="2" s="1"/>
  <c r="N125" i="2" a="1"/>
  <c r="N125" i="2" s="1"/>
  <c r="M125" i="2" a="1"/>
  <c r="M125" i="2" s="1"/>
  <c r="P125" i="2" s="1"/>
  <c r="L125" i="2" a="1"/>
  <c r="L125" i="2" s="1"/>
  <c r="Q125" i="2" s="1"/>
  <c r="N124" i="2" a="1"/>
  <c r="N124" i="2" s="1"/>
  <c r="M124" i="2" a="1"/>
  <c r="M124" i="2" s="1"/>
  <c r="P124" i="2" s="1"/>
  <c r="L124" i="2" a="1"/>
  <c r="L124" i="2" s="1"/>
  <c r="Q124" i="2" s="1"/>
  <c r="P123" i="2"/>
  <c r="N123" i="2" a="1"/>
  <c r="N123" i="2" s="1"/>
  <c r="M123" i="2"/>
  <c r="M123" i="2" a="1"/>
  <c r="L123" i="2" a="1"/>
  <c r="L123" i="2" s="1"/>
  <c r="Q123" i="2" s="1"/>
  <c r="N122" i="2" a="1"/>
  <c r="N122" i="2" s="1"/>
  <c r="M122" i="2" a="1"/>
  <c r="M122" i="2" s="1"/>
  <c r="P122" i="2" s="1"/>
  <c r="L122" i="2" a="1"/>
  <c r="L122" i="2" s="1"/>
  <c r="Q122" i="2" s="1"/>
  <c r="N121" i="2" a="1"/>
  <c r="N121" i="2" s="1"/>
  <c r="M121" i="2" a="1"/>
  <c r="M121" i="2" s="1"/>
  <c r="P121" i="2" s="1"/>
  <c r="L121" i="2" a="1"/>
  <c r="L121" i="2" s="1"/>
  <c r="Q121" i="2" s="1"/>
  <c r="N120" i="2" a="1"/>
  <c r="N120" i="2" s="1"/>
  <c r="M120" i="2" a="1"/>
  <c r="M120" i="2" s="1"/>
  <c r="P120" i="2" s="1"/>
  <c r="L120" i="2" a="1"/>
  <c r="L120" i="2" s="1"/>
  <c r="Q120" i="2" s="1"/>
  <c r="N119" i="2" a="1"/>
  <c r="N119" i="2" s="1"/>
  <c r="M119" i="2" a="1"/>
  <c r="M119" i="2" s="1"/>
  <c r="P119" i="2" s="1"/>
  <c r="L119" i="2" a="1"/>
  <c r="L119" i="2" s="1"/>
  <c r="Q119" i="2" s="1"/>
  <c r="N118" i="2" a="1"/>
  <c r="N118" i="2" s="1"/>
  <c r="M118" i="2" a="1"/>
  <c r="M118" i="2" s="1"/>
  <c r="P118" i="2" s="1"/>
  <c r="L118" i="2"/>
  <c r="Q118" i="2" s="1"/>
  <c r="L118" i="2" a="1"/>
  <c r="N117" i="2" a="1"/>
  <c r="N117" i="2" s="1"/>
  <c r="M117" i="2" a="1"/>
  <c r="M117" i="2" s="1"/>
  <c r="P117" i="2" s="1"/>
  <c r="L117" i="2" a="1"/>
  <c r="L117" i="2" s="1"/>
  <c r="Q117" i="2" s="1"/>
  <c r="Q116" i="2"/>
  <c r="N116" i="2" a="1"/>
  <c r="N116" i="2" s="1"/>
  <c r="M116" i="2" a="1"/>
  <c r="M116" i="2" s="1"/>
  <c r="P116" i="2" s="1"/>
  <c r="L116" i="2" a="1"/>
  <c r="L116" i="2" s="1"/>
  <c r="Q115" i="2"/>
  <c r="N115" i="2" a="1"/>
  <c r="N115" i="2" s="1"/>
  <c r="M115" i="2" a="1"/>
  <c r="M115" i="2" s="1"/>
  <c r="P115" i="2" s="1"/>
  <c r="L115" i="2" a="1"/>
  <c r="L115" i="2" s="1"/>
  <c r="N114" i="2" a="1"/>
  <c r="N114" i="2" s="1"/>
  <c r="M114" i="2" a="1"/>
  <c r="M114" i="2" s="1"/>
  <c r="P114" i="2" s="1"/>
  <c r="L114" i="2" a="1"/>
  <c r="L114" i="2" s="1"/>
  <c r="Q114" i="2" s="1"/>
  <c r="N113" i="2" a="1"/>
  <c r="N113" i="2" s="1"/>
  <c r="M113" i="2" a="1"/>
  <c r="M113" i="2" s="1"/>
  <c r="P113" i="2" s="1"/>
  <c r="L113" i="2" a="1"/>
  <c r="L113" i="2" s="1"/>
  <c r="Q113" i="2" s="1"/>
  <c r="N112" i="2" a="1"/>
  <c r="N112" i="2" s="1"/>
  <c r="M112" i="2" a="1"/>
  <c r="M112" i="2" s="1"/>
  <c r="P112" i="2" s="1"/>
  <c r="L112" i="2" a="1"/>
  <c r="L112" i="2" s="1"/>
  <c r="Q112" i="2" s="1"/>
  <c r="N111" i="2" a="1"/>
  <c r="N111" i="2" s="1"/>
  <c r="M111" i="2" a="1"/>
  <c r="M111" i="2" s="1"/>
  <c r="P111" i="2" s="1"/>
  <c r="L111" i="2" a="1"/>
  <c r="L111" i="2" s="1"/>
  <c r="Q111" i="2" s="1"/>
  <c r="N110" i="2" a="1"/>
  <c r="N110" i="2" s="1"/>
  <c r="M110" i="2" a="1"/>
  <c r="M110" i="2" s="1"/>
  <c r="P110" i="2" s="1"/>
  <c r="L110" i="2" a="1"/>
  <c r="L110" i="2" s="1"/>
  <c r="Q110" i="2" s="1"/>
  <c r="N109" i="2" a="1"/>
  <c r="N109" i="2" s="1"/>
  <c r="M109" i="2" a="1"/>
  <c r="M109" i="2" s="1"/>
  <c r="P109" i="2" s="1"/>
  <c r="L109" i="2" a="1"/>
  <c r="L109" i="2" s="1"/>
  <c r="Q109" i="2" s="1"/>
  <c r="N108" i="2" a="1"/>
  <c r="N108" i="2" s="1"/>
  <c r="M108" i="2" a="1"/>
  <c r="M108" i="2" s="1"/>
  <c r="P108" i="2" s="1"/>
  <c r="L108" i="2" a="1"/>
  <c r="L108" i="2" s="1"/>
  <c r="Q108" i="2" s="1"/>
  <c r="N107" i="2" a="1"/>
  <c r="N107" i="2" s="1"/>
  <c r="M107" i="2" a="1"/>
  <c r="M107" i="2" s="1"/>
  <c r="P107" i="2" s="1"/>
  <c r="L107" i="2" a="1"/>
  <c r="L107" i="2" s="1"/>
  <c r="Q107" i="2" s="1"/>
  <c r="N106" i="2" a="1"/>
  <c r="N106" i="2" s="1"/>
  <c r="M106" i="2" a="1"/>
  <c r="M106" i="2" s="1"/>
  <c r="P106" i="2" s="1"/>
  <c r="L106" i="2" a="1"/>
  <c r="L106" i="2" s="1"/>
  <c r="Q106" i="2" s="1"/>
  <c r="N105" i="2" a="1"/>
  <c r="N105" i="2" s="1"/>
  <c r="M105" i="2" a="1"/>
  <c r="M105" i="2" s="1"/>
  <c r="P105" i="2" s="1"/>
  <c r="L105" i="2" a="1"/>
  <c r="L105" i="2" s="1"/>
  <c r="Q105" i="2" s="1"/>
  <c r="N104" i="2" a="1"/>
  <c r="N104" i="2" s="1"/>
  <c r="M104" i="2" a="1"/>
  <c r="M104" i="2" s="1"/>
  <c r="P104" i="2" s="1"/>
  <c r="L104" i="2" a="1"/>
  <c r="L104" i="2" s="1"/>
  <c r="Q104" i="2" s="1"/>
  <c r="Q103" i="2"/>
  <c r="N103" i="2" a="1"/>
  <c r="N103" i="2" s="1"/>
  <c r="M103" i="2" a="1"/>
  <c r="M103" i="2" s="1"/>
  <c r="P103" i="2" s="1"/>
  <c r="L103" i="2" a="1"/>
  <c r="L103" i="2" s="1"/>
  <c r="N102" i="2" a="1"/>
  <c r="N102" i="2" s="1"/>
  <c r="M102" i="2" a="1"/>
  <c r="M102" i="2" s="1"/>
  <c r="P102" i="2" s="1"/>
  <c r="L102" i="2" a="1"/>
  <c r="L102" i="2" s="1"/>
  <c r="Q102" i="2" s="1"/>
  <c r="N101" i="2" a="1"/>
  <c r="N101" i="2" s="1"/>
  <c r="M101" i="2" a="1"/>
  <c r="M101" i="2" s="1"/>
  <c r="P101" i="2" s="1"/>
  <c r="L101" i="2" a="1"/>
  <c r="L101" i="2" s="1"/>
  <c r="Q101" i="2" s="1"/>
  <c r="N100" i="2" a="1"/>
  <c r="N100" i="2" s="1"/>
  <c r="M100" i="2" a="1"/>
  <c r="M100" i="2" s="1"/>
  <c r="P100" i="2" s="1"/>
  <c r="L100" i="2" a="1"/>
  <c r="L100" i="2" s="1"/>
  <c r="Q100" i="2" s="1"/>
  <c r="N99" i="2" a="1"/>
  <c r="N99" i="2" s="1"/>
  <c r="M99" i="2" a="1"/>
  <c r="M99" i="2" s="1"/>
  <c r="P99" i="2" s="1"/>
  <c r="L99" i="2" a="1"/>
  <c r="L99" i="2" s="1"/>
  <c r="Q99" i="2" s="1"/>
  <c r="N98" i="2" a="1"/>
  <c r="N98" i="2" s="1"/>
  <c r="M98" i="2" a="1"/>
  <c r="M98" i="2" s="1"/>
  <c r="P98" i="2" s="1"/>
  <c r="L98" i="2"/>
  <c r="Q98" i="2" s="1"/>
  <c r="L98" i="2" a="1"/>
  <c r="N97" i="2" a="1"/>
  <c r="N97" i="2" s="1"/>
  <c r="M97" i="2" a="1"/>
  <c r="M97" i="2" s="1"/>
  <c r="P97" i="2" s="1"/>
  <c r="L97" i="2" a="1"/>
  <c r="L97" i="2" s="1"/>
  <c r="Q97" i="2" s="1"/>
  <c r="N96" i="2" a="1"/>
  <c r="N96" i="2" s="1"/>
  <c r="M96" i="2" a="1"/>
  <c r="M96" i="2" s="1"/>
  <c r="P96" i="2" s="1"/>
  <c r="L96" i="2" a="1"/>
  <c r="L96" i="2" s="1"/>
  <c r="Q96" i="2" s="1"/>
  <c r="N95" i="2" a="1"/>
  <c r="N95" i="2" s="1"/>
  <c r="M95" i="2" a="1"/>
  <c r="M95" i="2" s="1"/>
  <c r="P95" i="2" s="1"/>
  <c r="L95" i="2" a="1"/>
  <c r="L95" i="2" s="1"/>
  <c r="Q95" i="2" s="1"/>
  <c r="Q94" i="2"/>
  <c r="P94" i="2"/>
  <c r="N94" i="2" a="1"/>
  <c r="N94" i="2" s="1"/>
  <c r="M94" i="2" a="1"/>
  <c r="M94" i="2" s="1"/>
  <c r="L94" i="2" a="1"/>
  <c r="L94" i="2" s="1"/>
  <c r="N93" i="2" a="1"/>
  <c r="N93" i="2" s="1"/>
  <c r="M93" i="2" a="1"/>
  <c r="M93" i="2" s="1"/>
  <c r="P93" i="2" s="1"/>
  <c r="L93" i="2" a="1"/>
  <c r="L93" i="2" s="1"/>
  <c r="Q93" i="2" s="1"/>
  <c r="N92" i="2" a="1"/>
  <c r="N92" i="2" s="1"/>
  <c r="M92" i="2" a="1"/>
  <c r="M92" i="2" s="1"/>
  <c r="P92" i="2" s="1"/>
  <c r="L92" i="2" a="1"/>
  <c r="L92" i="2" s="1"/>
  <c r="Q92" i="2" s="1"/>
  <c r="Q91" i="2"/>
  <c r="N91" i="2" a="1"/>
  <c r="N91" i="2" s="1"/>
  <c r="M91" i="2"/>
  <c r="P91" i="2" s="1"/>
  <c r="R91" i="2" s="1"/>
  <c r="M91" i="2" a="1"/>
  <c r="L91" i="2"/>
  <c r="L91" i="2" a="1"/>
  <c r="N90" i="2" a="1"/>
  <c r="N90" i="2" s="1"/>
  <c r="M90" i="2" a="1"/>
  <c r="M90" i="2" s="1"/>
  <c r="P90" i="2" s="1"/>
  <c r="L90" i="2" a="1"/>
  <c r="L90" i="2" s="1"/>
  <c r="Q90" i="2" s="1"/>
  <c r="N89" i="2" a="1"/>
  <c r="N89" i="2" s="1"/>
  <c r="M89" i="2" a="1"/>
  <c r="M89" i="2" s="1"/>
  <c r="P89" i="2" s="1"/>
  <c r="L89" i="2" a="1"/>
  <c r="L89" i="2" s="1"/>
  <c r="Q89" i="2" s="1"/>
  <c r="N88" i="2" a="1"/>
  <c r="N88" i="2" s="1"/>
  <c r="M88" i="2" a="1"/>
  <c r="M88" i="2" s="1"/>
  <c r="P88" i="2" s="1"/>
  <c r="L88" i="2" a="1"/>
  <c r="L88" i="2" s="1"/>
  <c r="Q88" i="2" s="1"/>
  <c r="N87" i="2" a="1"/>
  <c r="N87" i="2" s="1"/>
  <c r="M87" i="2" a="1"/>
  <c r="M87" i="2" s="1"/>
  <c r="P87" i="2" s="1"/>
  <c r="L87" i="2" a="1"/>
  <c r="L87" i="2" s="1"/>
  <c r="Q87" i="2" s="1"/>
  <c r="N86" i="2" a="1"/>
  <c r="N86" i="2" s="1"/>
  <c r="M86" i="2" a="1"/>
  <c r="M86" i="2" s="1"/>
  <c r="P86" i="2" s="1"/>
  <c r="L86" i="2" a="1"/>
  <c r="L86" i="2" s="1"/>
  <c r="Q86" i="2" s="1"/>
  <c r="N85" i="2" a="1"/>
  <c r="N85" i="2" s="1"/>
  <c r="M85" i="2" a="1"/>
  <c r="M85" i="2" s="1"/>
  <c r="P85" i="2" s="1"/>
  <c r="L85" i="2"/>
  <c r="Q85" i="2" s="1"/>
  <c r="L85" i="2" a="1"/>
  <c r="N84" i="2" a="1"/>
  <c r="N84" i="2" s="1"/>
  <c r="M84" i="2" a="1"/>
  <c r="M84" i="2" s="1"/>
  <c r="P84" i="2" s="1"/>
  <c r="L84" i="2" a="1"/>
  <c r="L84" i="2" s="1"/>
  <c r="Q84" i="2" s="1"/>
  <c r="N83" i="2" a="1"/>
  <c r="N83" i="2" s="1"/>
  <c r="M83" i="2" a="1"/>
  <c r="M83" i="2" s="1"/>
  <c r="P83" i="2" s="1"/>
  <c r="L83" i="2" a="1"/>
  <c r="L83" i="2" s="1"/>
  <c r="Q83" i="2" s="1"/>
  <c r="N82" i="2" a="1"/>
  <c r="N82" i="2" s="1"/>
  <c r="M82" i="2" a="1"/>
  <c r="M82" i="2" s="1"/>
  <c r="P82" i="2" s="1"/>
  <c r="L82" i="2" a="1"/>
  <c r="L82" i="2" s="1"/>
  <c r="Q82" i="2" s="1"/>
  <c r="N81" i="2" a="1"/>
  <c r="N81" i="2" s="1"/>
  <c r="M81" i="2" a="1"/>
  <c r="M81" i="2" s="1"/>
  <c r="P81" i="2" s="1"/>
  <c r="L81" i="2" a="1"/>
  <c r="L81" i="2" s="1"/>
  <c r="Q81" i="2" s="1"/>
  <c r="N80" i="2" a="1"/>
  <c r="N80" i="2" s="1"/>
  <c r="M80" i="2" a="1"/>
  <c r="M80" i="2" s="1"/>
  <c r="P80" i="2" s="1"/>
  <c r="L80" i="2" a="1"/>
  <c r="L80" i="2" s="1"/>
  <c r="Q80" i="2" s="1"/>
  <c r="N79" i="2" a="1"/>
  <c r="N79" i="2" s="1"/>
  <c r="M79" i="2" a="1"/>
  <c r="M79" i="2" s="1"/>
  <c r="P79" i="2" s="1"/>
  <c r="L79" i="2" a="1"/>
  <c r="L79" i="2" s="1"/>
  <c r="Q79" i="2" s="1"/>
  <c r="N78" i="2" a="1"/>
  <c r="N78" i="2" s="1"/>
  <c r="M78" i="2" a="1"/>
  <c r="M78" i="2" s="1"/>
  <c r="P78" i="2" s="1"/>
  <c r="L78" i="2"/>
  <c r="Q78" i="2" s="1"/>
  <c r="L78" i="2" a="1"/>
  <c r="N77" i="2" a="1"/>
  <c r="N77" i="2" s="1"/>
  <c r="M77" i="2" a="1"/>
  <c r="M77" i="2" s="1"/>
  <c r="P77" i="2" s="1"/>
  <c r="L77" i="2" a="1"/>
  <c r="L77" i="2" s="1"/>
  <c r="Q77" i="2" s="1"/>
  <c r="N76" i="2" a="1"/>
  <c r="N76" i="2" s="1"/>
  <c r="M76" i="2" a="1"/>
  <c r="M76" i="2" s="1"/>
  <c r="P76" i="2" s="1"/>
  <c r="L76" i="2" a="1"/>
  <c r="L76" i="2" s="1"/>
  <c r="Q76" i="2" s="1"/>
  <c r="N75" i="2" a="1"/>
  <c r="N75" i="2" s="1"/>
  <c r="M75" i="2" a="1"/>
  <c r="M75" i="2" s="1"/>
  <c r="P75" i="2" s="1"/>
  <c r="L75" i="2" a="1"/>
  <c r="L75" i="2" s="1"/>
  <c r="Q75" i="2" s="1"/>
  <c r="N74" i="2" a="1"/>
  <c r="N74" i="2" s="1"/>
  <c r="M74" i="2" a="1"/>
  <c r="M74" i="2" s="1"/>
  <c r="P74" i="2" s="1"/>
  <c r="L74" i="2"/>
  <c r="Q74" i="2" s="1"/>
  <c r="L74" i="2" a="1"/>
  <c r="N73" i="2" a="1"/>
  <c r="N73" i="2" s="1"/>
  <c r="M73" i="2" a="1"/>
  <c r="M73" i="2" s="1"/>
  <c r="P73" i="2" s="1"/>
  <c r="L73" i="2" a="1"/>
  <c r="L73" i="2" s="1"/>
  <c r="Q73" i="2" s="1"/>
  <c r="N72" i="2" a="1"/>
  <c r="N72" i="2" s="1"/>
  <c r="M72" i="2" a="1"/>
  <c r="M72" i="2" s="1"/>
  <c r="P72" i="2" s="1"/>
  <c r="L72" i="2" a="1"/>
  <c r="L72" i="2" s="1"/>
  <c r="Q72" i="2" s="1"/>
  <c r="N71" i="2" a="1"/>
  <c r="N71" i="2" s="1"/>
  <c r="M71" i="2" a="1"/>
  <c r="M71" i="2" s="1"/>
  <c r="P71" i="2" s="1"/>
  <c r="L71" i="2" a="1"/>
  <c r="L71" i="2" s="1"/>
  <c r="Q71" i="2" s="1"/>
  <c r="Q70" i="2"/>
  <c r="P70" i="2"/>
  <c r="N70" i="2"/>
  <c r="N70" i="2" a="1"/>
  <c r="M70" i="2" a="1"/>
  <c r="M70" i="2" s="1"/>
  <c r="L70" i="2" a="1"/>
  <c r="L70" i="2" s="1"/>
  <c r="N69" i="2" a="1"/>
  <c r="N69" i="2" s="1"/>
  <c r="M69" i="2" a="1"/>
  <c r="M69" i="2" s="1"/>
  <c r="P69" i="2" s="1"/>
  <c r="L69" i="2" a="1"/>
  <c r="L69" i="2" s="1"/>
  <c r="Q69" i="2" s="1"/>
  <c r="N68" i="2" a="1"/>
  <c r="N68" i="2" s="1"/>
  <c r="M68" i="2" a="1"/>
  <c r="M68" i="2" s="1"/>
  <c r="P68" i="2" s="1"/>
  <c r="L68" i="2" a="1"/>
  <c r="L68" i="2" s="1"/>
  <c r="Q68" i="2" s="1"/>
  <c r="N67" i="2" a="1"/>
  <c r="N67" i="2" s="1"/>
  <c r="M67" i="2" a="1"/>
  <c r="M67" i="2" s="1"/>
  <c r="P67" i="2" s="1"/>
  <c r="L67" i="2" a="1"/>
  <c r="L67" i="2" s="1"/>
  <c r="Q67" i="2" s="1"/>
  <c r="N66" i="2" a="1"/>
  <c r="N66" i="2" s="1"/>
  <c r="M66" i="2" a="1"/>
  <c r="M66" i="2" s="1"/>
  <c r="P66" i="2" s="1"/>
  <c r="R66" i="2" s="1"/>
  <c r="L66" i="2"/>
  <c r="Q66" i="2" s="1"/>
  <c r="L66" i="2" a="1"/>
  <c r="N65" i="2" a="1"/>
  <c r="N65" i="2" s="1"/>
  <c r="M65" i="2" a="1"/>
  <c r="M65" i="2" s="1"/>
  <c r="P65" i="2" s="1"/>
  <c r="L65" i="2" a="1"/>
  <c r="L65" i="2" s="1"/>
  <c r="Q65" i="2" s="1"/>
  <c r="N64" i="2" a="1"/>
  <c r="N64" i="2" s="1"/>
  <c r="M64" i="2" a="1"/>
  <c r="M64" i="2" s="1"/>
  <c r="P64" i="2" s="1"/>
  <c r="L64" i="2" a="1"/>
  <c r="L64" i="2" s="1"/>
  <c r="Q64" i="2" s="1"/>
  <c r="N63" i="2" a="1"/>
  <c r="N63" i="2" s="1"/>
  <c r="M63" i="2" a="1"/>
  <c r="M63" i="2" s="1"/>
  <c r="P63" i="2" s="1"/>
  <c r="L63" i="2" a="1"/>
  <c r="L63" i="2" s="1"/>
  <c r="Q63" i="2" s="1"/>
  <c r="N62" i="2" a="1"/>
  <c r="N62" i="2" s="1"/>
  <c r="M62" i="2" a="1"/>
  <c r="M62" i="2" s="1"/>
  <c r="P62" i="2" s="1"/>
  <c r="L62" i="2" a="1"/>
  <c r="L62" i="2" s="1"/>
  <c r="Q62" i="2" s="1"/>
  <c r="N61" i="2" a="1"/>
  <c r="N61" i="2" s="1"/>
  <c r="M61" i="2" a="1"/>
  <c r="M61" i="2" s="1"/>
  <c r="P61" i="2" s="1"/>
  <c r="L61" i="2" a="1"/>
  <c r="L61" i="2" s="1"/>
  <c r="Q61" i="2" s="1"/>
  <c r="N60" i="2" a="1"/>
  <c r="N60" i="2" s="1"/>
  <c r="M60" i="2" a="1"/>
  <c r="M60" i="2" s="1"/>
  <c r="P60" i="2" s="1"/>
  <c r="L60" i="2" a="1"/>
  <c r="L60" i="2" s="1"/>
  <c r="Q60" i="2" s="1"/>
  <c r="N59" i="2" a="1"/>
  <c r="N59" i="2" s="1"/>
  <c r="M59" i="2" a="1"/>
  <c r="M59" i="2" s="1"/>
  <c r="P59" i="2" s="1"/>
  <c r="L59" i="2" a="1"/>
  <c r="L59" i="2" s="1"/>
  <c r="Q59" i="2" s="1"/>
  <c r="N58" i="2" a="1"/>
  <c r="N58" i="2" s="1"/>
  <c r="M58" i="2" a="1"/>
  <c r="M58" i="2" s="1"/>
  <c r="P58" i="2" s="1"/>
  <c r="L58" i="2" a="1"/>
  <c r="L58" i="2" s="1"/>
  <c r="Q58" i="2" s="1"/>
  <c r="Q57" i="2"/>
  <c r="N57" i="2" a="1"/>
  <c r="N57" i="2" s="1"/>
  <c r="M57" i="2" a="1"/>
  <c r="M57" i="2" s="1"/>
  <c r="P57" i="2" s="1"/>
  <c r="L57" i="2"/>
  <c r="L57" i="2" a="1"/>
  <c r="N56" i="2" a="1"/>
  <c r="N56" i="2" s="1"/>
  <c r="M56" i="2" a="1"/>
  <c r="M56" i="2" s="1"/>
  <c r="P56" i="2" s="1"/>
  <c r="L56" i="2" a="1"/>
  <c r="L56" i="2" s="1"/>
  <c r="Q56" i="2" s="1"/>
  <c r="N55" i="2" a="1"/>
  <c r="N55" i="2" s="1"/>
  <c r="M55" i="2" a="1"/>
  <c r="M55" i="2" s="1"/>
  <c r="P55" i="2" s="1"/>
  <c r="L55" i="2" a="1"/>
  <c r="L55" i="2" s="1"/>
  <c r="Q55" i="2" s="1"/>
  <c r="N54" i="2" a="1"/>
  <c r="N54" i="2" s="1"/>
  <c r="M54" i="2" a="1"/>
  <c r="M54" i="2" s="1"/>
  <c r="P54" i="2" s="1"/>
  <c r="L54" i="2" a="1"/>
  <c r="L54" i="2" s="1"/>
  <c r="Q54" i="2" s="1"/>
  <c r="N53" i="2" a="1"/>
  <c r="N53" i="2" s="1"/>
  <c r="M53" i="2" a="1"/>
  <c r="M53" i="2" s="1"/>
  <c r="P53" i="2" s="1"/>
  <c r="L53" i="2" a="1"/>
  <c r="L53" i="2" s="1"/>
  <c r="Q53" i="2" s="1"/>
  <c r="N52" i="2" a="1"/>
  <c r="N52" i="2" s="1"/>
  <c r="M52" i="2" a="1"/>
  <c r="M52" i="2" s="1"/>
  <c r="P52" i="2" s="1"/>
  <c r="L52" i="2" a="1"/>
  <c r="L52" i="2" s="1"/>
  <c r="Q52" i="2" s="1"/>
  <c r="N51" i="2" a="1"/>
  <c r="N51" i="2" s="1"/>
  <c r="M51" i="2" a="1"/>
  <c r="M51" i="2" s="1"/>
  <c r="P51" i="2" s="1"/>
  <c r="L51" i="2" a="1"/>
  <c r="L51" i="2" s="1"/>
  <c r="Q51" i="2" s="1"/>
  <c r="N50" i="2" a="1"/>
  <c r="N50" i="2" s="1"/>
  <c r="M50" i="2" a="1"/>
  <c r="M50" i="2" s="1"/>
  <c r="P50" i="2" s="1"/>
  <c r="L50" i="2" a="1"/>
  <c r="L50" i="2" s="1"/>
  <c r="Q50" i="2" s="1"/>
  <c r="N49" i="2" a="1"/>
  <c r="N49" i="2" s="1"/>
  <c r="M49" i="2" a="1"/>
  <c r="M49" i="2" s="1"/>
  <c r="P49" i="2" s="1"/>
  <c r="L49" i="2" a="1"/>
  <c r="L49" i="2" s="1"/>
  <c r="Q49" i="2" s="1"/>
  <c r="N48" i="2" a="1"/>
  <c r="N48" i="2" s="1"/>
  <c r="M48" i="2" a="1"/>
  <c r="M48" i="2" s="1"/>
  <c r="P48" i="2" s="1"/>
  <c r="L48" i="2" a="1"/>
  <c r="L48" i="2" s="1"/>
  <c r="Q48" i="2" s="1"/>
  <c r="N47" i="2" a="1"/>
  <c r="N47" i="2" s="1"/>
  <c r="M47" i="2" a="1"/>
  <c r="M47" i="2" s="1"/>
  <c r="P47" i="2" s="1"/>
  <c r="L47" i="2" a="1"/>
  <c r="L47" i="2" s="1"/>
  <c r="Q47" i="2" s="1"/>
  <c r="N46" i="2" a="1"/>
  <c r="N46" i="2" s="1"/>
  <c r="M46" i="2" a="1"/>
  <c r="M46" i="2" s="1"/>
  <c r="P46" i="2" s="1"/>
  <c r="L46" i="2" a="1"/>
  <c r="L46" i="2" s="1"/>
  <c r="Q46" i="2" s="1"/>
  <c r="N45" i="2" a="1"/>
  <c r="N45" i="2" s="1"/>
  <c r="M45" i="2" a="1"/>
  <c r="M45" i="2" s="1"/>
  <c r="P45" i="2" s="1"/>
  <c r="L45" i="2" a="1"/>
  <c r="L45" i="2" s="1"/>
  <c r="Q45" i="2" s="1"/>
  <c r="N44" i="2" a="1"/>
  <c r="N44" i="2" s="1"/>
  <c r="M44" i="2" a="1"/>
  <c r="M44" i="2" s="1"/>
  <c r="P44" i="2" s="1"/>
  <c r="L44" i="2" a="1"/>
  <c r="L44" i="2" s="1"/>
  <c r="Q44" i="2" s="1"/>
  <c r="N43" i="2" a="1"/>
  <c r="N43" i="2" s="1"/>
  <c r="M43" i="2" a="1"/>
  <c r="M43" i="2" s="1"/>
  <c r="P43" i="2" s="1"/>
  <c r="L43" i="2" a="1"/>
  <c r="L43" i="2" s="1"/>
  <c r="Q43" i="2" s="1"/>
  <c r="N42" i="2" a="1"/>
  <c r="N42" i="2" s="1"/>
  <c r="M42" i="2" a="1"/>
  <c r="M42" i="2" s="1"/>
  <c r="P42" i="2" s="1"/>
  <c r="L42" i="2" a="1"/>
  <c r="L42" i="2" s="1"/>
  <c r="Q42" i="2" s="1"/>
  <c r="N41" i="2" a="1"/>
  <c r="N41" i="2" s="1"/>
  <c r="M41" i="2" a="1"/>
  <c r="M41" i="2" s="1"/>
  <c r="P41" i="2" s="1"/>
  <c r="L41" i="2" a="1"/>
  <c r="L41" i="2" s="1"/>
  <c r="Q41" i="2" s="1"/>
  <c r="N40" i="2" a="1"/>
  <c r="N40" i="2" s="1"/>
  <c r="M40" i="2" a="1"/>
  <c r="M40" i="2" s="1"/>
  <c r="P40" i="2" s="1"/>
  <c r="L40" i="2" a="1"/>
  <c r="L40" i="2" s="1"/>
  <c r="Q40" i="2" s="1"/>
  <c r="N39" i="2" a="1"/>
  <c r="N39" i="2" s="1"/>
  <c r="M39" i="2" a="1"/>
  <c r="M39" i="2" s="1"/>
  <c r="P39" i="2" s="1"/>
  <c r="L39" i="2"/>
  <c r="Q39" i="2" s="1"/>
  <c r="L39" i="2" a="1"/>
  <c r="N38" i="2" a="1"/>
  <c r="N38" i="2" s="1"/>
  <c r="M38" i="2" a="1"/>
  <c r="M38" i="2" s="1"/>
  <c r="P38" i="2" s="1"/>
  <c r="L38" i="2" a="1"/>
  <c r="L38" i="2" s="1"/>
  <c r="Q38" i="2" s="1"/>
  <c r="N37" i="2" a="1"/>
  <c r="N37" i="2" s="1"/>
  <c r="M37" i="2" a="1"/>
  <c r="M37" i="2" s="1"/>
  <c r="P37" i="2" s="1"/>
  <c r="L37" i="2" a="1"/>
  <c r="L37" i="2" s="1"/>
  <c r="Q37" i="2" s="1"/>
  <c r="N36" i="2" a="1"/>
  <c r="N36" i="2" s="1"/>
  <c r="M36" i="2" a="1"/>
  <c r="M36" i="2" s="1"/>
  <c r="P36" i="2" s="1"/>
  <c r="L36" i="2" a="1"/>
  <c r="L36" i="2" s="1"/>
  <c r="Q36" i="2" s="1"/>
  <c r="N35" i="2" a="1"/>
  <c r="N35" i="2" s="1"/>
  <c r="M35" i="2" a="1"/>
  <c r="M35" i="2" s="1"/>
  <c r="P35" i="2" s="1"/>
  <c r="L35" i="2" a="1"/>
  <c r="L35" i="2" s="1"/>
  <c r="Q35" i="2" s="1"/>
  <c r="N34" i="2" a="1"/>
  <c r="N34" i="2" s="1"/>
  <c r="M34" i="2" a="1"/>
  <c r="M34" i="2" s="1"/>
  <c r="P34" i="2" s="1"/>
  <c r="L34" i="2" a="1"/>
  <c r="L34" i="2" s="1"/>
  <c r="Q34" i="2" s="1"/>
  <c r="N33" i="2" a="1"/>
  <c r="N33" i="2" s="1"/>
  <c r="M33" i="2" a="1"/>
  <c r="M33" i="2" s="1"/>
  <c r="P33" i="2" s="1"/>
  <c r="L33" i="2" a="1"/>
  <c r="L33" i="2" s="1"/>
  <c r="Q33" i="2" s="1"/>
  <c r="N32" i="2" a="1"/>
  <c r="N32" i="2" s="1"/>
  <c r="M32" i="2" a="1"/>
  <c r="M32" i="2" s="1"/>
  <c r="P32" i="2" s="1"/>
  <c r="L32" i="2" a="1"/>
  <c r="L32" i="2" s="1"/>
  <c r="Q32" i="2" s="1"/>
  <c r="N31" i="2" a="1"/>
  <c r="N31" i="2" s="1"/>
  <c r="M31" i="2" a="1"/>
  <c r="M31" i="2" s="1"/>
  <c r="P31" i="2" s="1"/>
  <c r="L31" i="2"/>
  <c r="Q31" i="2" s="1"/>
  <c r="L31" i="2" a="1"/>
  <c r="N30" i="2" a="1"/>
  <c r="N30" i="2" s="1"/>
  <c r="M30" i="2" a="1"/>
  <c r="M30" i="2" s="1"/>
  <c r="P30" i="2" s="1"/>
  <c r="L30" i="2" a="1"/>
  <c r="L30" i="2" s="1"/>
  <c r="Q30" i="2" s="1"/>
  <c r="N29" i="2" a="1"/>
  <c r="N29" i="2" s="1"/>
  <c r="M29" i="2" a="1"/>
  <c r="M29" i="2" s="1"/>
  <c r="P29" i="2" s="1"/>
  <c r="L29" i="2" a="1"/>
  <c r="L29" i="2" s="1"/>
  <c r="Q29" i="2" s="1"/>
  <c r="N28" i="2" a="1"/>
  <c r="N28" i="2" s="1"/>
  <c r="M28" i="2" a="1"/>
  <c r="M28" i="2" s="1"/>
  <c r="P28" i="2" s="1"/>
  <c r="L28" i="2" a="1"/>
  <c r="L28" i="2" s="1"/>
  <c r="Q28" i="2" s="1"/>
  <c r="N27" i="2" a="1"/>
  <c r="N27" i="2" s="1"/>
  <c r="M27" i="2" a="1"/>
  <c r="M27" i="2" s="1"/>
  <c r="P27" i="2" s="1"/>
  <c r="L27" i="2" a="1"/>
  <c r="L27" i="2" s="1"/>
  <c r="Q27" i="2" s="1"/>
  <c r="N26" i="2" a="1"/>
  <c r="N26" i="2" s="1"/>
  <c r="M26" i="2" a="1"/>
  <c r="M26" i="2" s="1"/>
  <c r="P26" i="2" s="1"/>
  <c r="L26" i="2" a="1"/>
  <c r="L26" i="2" s="1"/>
  <c r="Q26" i="2" s="1"/>
  <c r="Q25" i="2"/>
  <c r="N25" i="2" a="1"/>
  <c r="N25" i="2" s="1"/>
  <c r="M25" i="2" a="1"/>
  <c r="M25" i="2" s="1"/>
  <c r="P25" i="2" s="1"/>
  <c r="L25" i="2" a="1"/>
  <c r="L25" i="2" s="1"/>
  <c r="N24" i="2" a="1"/>
  <c r="N24" i="2" s="1"/>
  <c r="M24" i="2" a="1"/>
  <c r="M24" i="2" s="1"/>
  <c r="P24" i="2" s="1"/>
  <c r="L24" i="2"/>
  <c r="Q24" i="2" s="1"/>
  <c r="L24" i="2" a="1"/>
  <c r="N23" i="2" a="1"/>
  <c r="N23" i="2" s="1"/>
  <c r="M23" i="2" a="1"/>
  <c r="M23" i="2" s="1"/>
  <c r="P23" i="2" s="1"/>
  <c r="L23" i="2" a="1"/>
  <c r="L23" i="2" s="1"/>
  <c r="Q23" i="2" s="1"/>
  <c r="N22" i="2" a="1"/>
  <c r="N22" i="2" s="1"/>
  <c r="M22" i="2" a="1"/>
  <c r="M22" i="2" s="1"/>
  <c r="P22" i="2" s="1"/>
  <c r="L22" i="2" a="1"/>
  <c r="L22" i="2" s="1"/>
  <c r="Q22" i="2" s="1"/>
  <c r="N21" i="2" a="1"/>
  <c r="N21" i="2" s="1"/>
  <c r="M21" i="2" a="1"/>
  <c r="M21" i="2" s="1"/>
  <c r="P21" i="2" s="1"/>
  <c r="L21" i="2" a="1"/>
  <c r="L21" i="2" s="1"/>
  <c r="Q21" i="2" s="1"/>
  <c r="N20" i="2" a="1"/>
  <c r="N20" i="2" s="1"/>
  <c r="M20" i="2" a="1"/>
  <c r="M20" i="2" s="1"/>
  <c r="P20" i="2" s="1"/>
  <c r="L20" i="2" a="1"/>
  <c r="L20" i="2" s="1"/>
  <c r="Q20" i="2" s="1"/>
  <c r="N19" i="2" a="1"/>
  <c r="N19" i="2" s="1"/>
  <c r="M19" i="2" a="1"/>
  <c r="M19" i="2" s="1"/>
  <c r="P19" i="2" s="1"/>
  <c r="L19" i="2" a="1"/>
  <c r="L19" i="2" s="1"/>
  <c r="Q19" i="2" s="1"/>
  <c r="Q18" i="2"/>
  <c r="N18" i="2" a="1"/>
  <c r="N18" i="2" s="1"/>
  <c r="M18" i="2" a="1"/>
  <c r="M18" i="2" s="1"/>
  <c r="P18" i="2" s="1"/>
  <c r="L18" i="2" a="1"/>
  <c r="L18" i="2" s="1"/>
  <c r="N17" i="2" a="1"/>
  <c r="N17" i="2" s="1"/>
  <c r="M17" i="2" a="1"/>
  <c r="M17" i="2" s="1"/>
  <c r="P17" i="2" s="1"/>
  <c r="L17" i="2" a="1"/>
  <c r="L17" i="2" s="1"/>
  <c r="Q17" i="2" s="1"/>
  <c r="N16" i="2" a="1"/>
  <c r="N16" i="2" s="1"/>
  <c r="M16" i="2" a="1"/>
  <c r="M16" i="2" s="1"/>
  <c r="P16" i="2" s="1"/>
  <c r="L16" i="2" a="1"/>
  <c r="L16" i="2" s="1"/>
  <c r="Q16" i="2" s="1"/>
  <c r="N15" i="2" a="1"/>
  <c r="N15" i="2" s="1"/>
  <c r="M15" i="2" a="1"/>
  <c r="M15" i="2" s="1"/>
  <c r="P15" i="2" s="1"/>
  <c r="L15" i="2" a="1"/>
  <c r="L15" i="2" s="1"/>
  <c r="Q15" i="2" s="1"/>
  <c r="N14" i="2" a="1"/>
  <c r="N14" i="2" s="1"/>
  <c r="M14" i="2" a="1"/>
  <c r="M14" i="2" s="1"/>
  <c r="P14" i="2" s="1"/>
  <c r="L14" i="2"/>
  <c r="Q14" i="2" s="1"/>
  <c r="L14" i="2" a="1"/>
  <c r="N13" i="2" a="1"/>
  <c r="N13" i="2" s="1"/>
  <c r="M13" i="2" a="1"/>
  <c r="M13" i="2" s="1"/>
  <c r="P13" i="2" s="1"/>
  <c r="L13" i="2" a="1"/>
  <c r="L13" i="2" s="1"/>
  <c r="Q13" i="2" s="1"/>
  <c r="N12" i="2" a="1"/>
  <c r="N12" i="2" s="1"/>
  <c r="M12" i="2" a="1"/>
  <c r="M12" i="2" s="1"/>
  <c r="P12" i="2" s="1"/>
  <c r="L12" i="2" a="1"/>
  <c r="L12" i="2" s="1"/>
  <c r="Q12" i="2" s="1"/>
  <c r="N11" i="2" a="1"/>
  <c r="N11" i="2" s="1"/>
  <c r="M11" i="2" a="1"/>
  <c r="M11" i="2" s="1"/>
  <c r="P11" i="2" s="1"/>
  <c r="L11" i="2" a="1"/>
  <c r="L11" i="2" s="1"/>
  <c r="Q11" i="2" s="1"/>
  <c r="N10" i="2" a="1"/>
  <c r="N10" i="2" s="1"/>
  <c r="M10" i="2" a="1"/>
  <c r="M10" i="2" s="1"/>
  <c r="P10" i="2" s="1"/>
  <c r="L10" i="2" a="1"/>
  <c r="L10" i="2" s="1"/>
  <c r="Q10" i="2" s="1"/>
  <c r="Q9" i="2"/>
  <c r="N9" i="2" a="1"/>
  <c r="N9" i="2" s="1"/>
  <c r="M9" i="2" a="1"/>
  <c r="M9" i="2" s="1"/>
  <c r="P9" i="2" s="1"/>
  <c r="L9" i="2" a="1"/>
  <c r="L9" i="2" s="1"/>
  <c r="N8" i="2" a="1"/>
  <c r="N8" i="2" s="1"/>
  <c r="M8" i="2" a="1"/>
  <c r="M8" i="2" s="1"/>
  <c r="P8" i="2" s="1"/>
  <c r="L8" i="2" a="1"/>
  <c r="L8" i="2" s="1"/>
  <c r="Q8" i="2" s="1"/>
  <c r="N7" i="2" a="1"/>
  <c r="N7" i="2" s="1"/>
  <c r="M7" i="2" a="1"/>
  <c r="M7" i="2" s="1"/>
  <c r="P7" i="2" s="1"/>
  <c r="L7" i="2" a="1"/>
  <c r="L7" i="2" s="1"/>
  <c r="Q7" i="2" s="1"/>
  <c r="N6" i="2" a="1"/>
  <c r="N6" i="2" s="1"/>
  <c r="M6" i="2" a="1"/>
  <c r="M6" i="2" s="1"/>
  <c r="P6" i="2" s="1"/>
  <c r="L6" i="2" a="1"/>
  <c r="L6" i="2" s="1"/>
  <c r="Q6" i="2" s="1"/>
  <c r="N4" i="2" a="1"/>
  <c r="N4" i="2" s="1"/>
  <c r="M4" i="2" a="1"/>
  <c r="M4" i="2" s="1"/>
  <c r="P4" i="2" s="1"/>
  <c r="L4" i="2" a="1"/>
  <c r="L4" i="2" s="1"/>
  <c r="Q4" i="2" s="1"/>
  <c r="O253" i="9"/>
  <c r="N253" i="9"/>
  <c r="L253" i="9"/>
  <c r="O252" i="9"/>
  <c r="N252" i="9"/>
  <c r="L252" i="9"/>
  <c r="O251" i="9"/>
  <c r="N251" i="9"/>
  <c r="L251" i="9"/>
  <c r="O250" i="9"/>
  <c r="N250" i="9"/>
  <c r="L250" i="9"/>
  <c r="O249" i="9"/>
  <c r="N249" i="9"/>
  <c r="L249" i="9"/>
  <c r="O248" i="9"/>
  <c r="N248" i="9"/>
  <c r="L248" i="9"/>
  <c r="O247" i="9"/>
  <c r="N247" i="9"/>
  <c r="L247" i="9"/>
  <c r="O246" i="9"/>
  <c r="N246" i="9"/>
  <c r="L246" i="9"/>
  <c r="O245" i="9"/>
  <c r="N245" i="9"/>
  <c r="L245" i="9"/>
  <c r="O244" i="9"/>
  <c r="N244" i="9"/>
  <c r="L244" i="9"/>
  <c r="O243" i="9"/>
  <c r="N243" i="9"/>
  <c r="L243" i="9"/>
  <c r="O242" i="9"/>
  <c r="N242" i="9"/>
  <c r="L242" i="9"/>
  <c r="O241" i="9"/>
  <c r="N241" i="9"/>
  <c r="L241" i="9"/>
  <c r="O240" i="9"/>
  <c r="N240" i="9"/>
  <c r="L240" i="9"/>
  <c r="O239" i="9"/>
  <c r="N239" i="9"/>
  <c r="L239" i="9"/>
  <c r="O238" i="9"/>
  <c r="N238" i="9"/>
  <c r="L238" i="9"/>
  <c r="O237" i="9"/>
  <c r="N237" i="9"/>
  <c r="L237" i="9"/>
  <c r="O236" i="9"/>
  <c r="N236" i="9"/>
  <c r="L236" i="9"/>
  <c r="O235" i="9"/>
  <c r="N235" i="9"/>
  <c r="L235" i="9"/>
  <c r="O234" i="9"/>
  <c r="N234" i="9"/>
  <c r="L234" i="9"/>
  <c r="O233" i="9"/>
  <c r="N233" i="9"/>
  <c r="L233" i="9"/>
  <c r="O232" i="9"/>
  <c r="N232" i="9"/>
  <c r="L232" i="9"/>
  <c r="O231" i="9"/>
  <c r="N231" i="9"/>
  <c r="L231" i="9"/>
  <c r="O230" i="9"/>
  <c r="N230" i="9"/>
  <c r="L230" i="9"/>
  <c r="O229" i="9"/>
  <c r="N229" i="9"/>
  <c r="L229" i="9"/>
  <c r="O228" i="9"/>
  <c r="N228" i="9"/>
  <c r="L228" i="9"/>
  <c r="O227" i="9"/>
  <c r="N227" i="9"/>
  <c r="L227" i="9"/>
  <c r="O226" i="9"/>
  <c r="N226" i="9"/>
  <c r="L226" i="9"/>
  <c r="O225" i="9"/>
  <c r="N225" i="9"/>
  <c r="L225" i="9"/>
  <c r="O224" i="9"/>
  <c r="N224" i="9"/>
  <c r="L224" i="9"/>
  <c r="O223" i="9"/>
  <c r="N223" i="9"/>
  <c r="L223" i="9"/>
  <c r="O222" i="9"/>
  <c r="N222" i="9"/>
  <c r="L222" i="9"/>
  <c r="O221" i="9"/>
  <c r="N221" i="9"/>
  <c r="L221" i="9"/>
  <c r="O220" i="9"/>
  <c r="N220" i="9"/>
  <c r="L220" i="9"/>
  <c r="O219" i="9"/>
  <c r="N219" i="9"/>
  <c r="L219" i="9"/>
  <c r="O218" i="9"/>
  <c r="N218" i="9"/>
  <c r="L218" i="9"/>
  <c r="O217" i="9"/>
  <c r="N217" i="9"/>
  <c r="L217" i="9"/>
  <c r="O216" i="9"/>
  <c r="N216" i="9"/>
  <c r="L216" i="9"/>
  <c r="O215" i="9"/>
  <c r="N215" i="9"/>
  <c r="L215" i="9"/>
  <c r="O214" i="9"/>
  <c r="N214" i="9"/>
  <c r="L214" i="9"/>
  <c r="O213" i="9"/>
  <c r="N213" i="9"/>
  <c r="L213" i="9"/>
  <c r="O212" i="9"/>
  <c r="N212" i="9"/>
  <c r="L212" i="9"/>
  <c r="O211" i="9"/>
  <c r="N211" i="9"/>
  <c r="L211" i="9"/>
  <c r="O210" i="9"/>
  <c r="N210" i="9"/>
  <c r="L210" i="9"/>
  <c r="O209" i="9"/>
  <c r="N209" i="9"/>
  <c r="L209" i="9"/>
  <c r="O208" i="9"/>
  <c r="N208" i="9"/>
  <c r="L208" i="9"/>
  <c r="O207" i="9"/>
  <c r="N207" i="9"/>
  <c r="L207" i="9"/>
  <c r="O206" i="9"/>
  <c r="N206" i="9"/>
  <c r="L206" i="9"/>
  <c r="O205" i="9"/>
  <c r="N205" i="9"/>
  <c r="L205" i="9"/>
  <c r="O204" i="9"/>
  <c r="N204" i="9"/>
  <c r="L204" i="9"/>
  <c r="O203" i="9"/>
  <c r="N203" i="9"/>
  <c r="L203" i="9"/>
  <c r="O202" i="9"/>
  <c r="N202" i="9"/>
  <c r="L202" i="9"/>
  <c r="O201" i="9"/>
  <c r="N201" i="9"/>
  <c r="L201" i="9"/>
  <c r="O200" i="9"/>
  <c r="N200" i="9"/>
  <c r="L200" i="9"/>
  <c r="O199" i="9"/>
  <c r="N199" i="9"/>
  <c r="L199" i="9"/>
  <c r="O198" i="9"/>
  <c r="N198" i="9"/>
  <c r="L198" i="9"/>
  <c r="O197" i="9"/>
  <c r="N197" i="9"/>
  <c r="L197" i="9"/>
  <c r="O196" i="9"/>
  <c r="N196" i="9"/>
  <c r="L196" i="9"/>
  <c r="O195" i="9"/>
  <c r="N195" i="9"/>
  <c r="L195" i="9"/>
  <c r="O194" i="9"/>
  <c r="N194" i="9"/>
  <c r="L194" i="9"/>
  <c r="O193" i="9"/>
  <c r="N193" i="9"/>
  <c r="L193" i="9"/>
  <c r="O192" i="9"/>
  <c r="N192" i="9"/>
  <c r="L192" i="9"/>
  <c r="O191" i="9"/>
  <c r="N191" i="9"/>
  <c r="L191" i="9"/>
  <c r="O190" i="9"/>
  <c r="N190" i="9"/>
  <c r="L190" i="9"/>
  <c r="O189" i="9"/>
  <c r="N189" i="9"/>
  <c r="L189" i="9"/>
  <c r="O188" i="9"/>
  <c r="N188" i="9"/>
  <c r="L188" i="9"/>
  <c r="O187" i="9"/>
  <c r="N187" i="9"/>
  <c r="L187" i="9"/>
  <c r="O186" i="9"/>
  <c r="N186" i="9"/>
  <c r="L186" i="9"/>
  <c r="O185" i="9"/>
  <c r="N185" i="9"/>
  <c r="L185" i="9"/>
  <c r="O184" i="9"/>
  <c r="N184" i="9"/>
  <c r="L184" i="9"/>
  <c r="O183" i="9"/>
  <c r="N183" i="9"/>
  <c r="L183" i="9"/>
  <c r="O182" i="9"/>
  <c r="N182" i="9"/>
  <c r="L182" i="9"/>
  <c r="O181" i="9"/>
  <c r="N181" i="9"/>
  <c r="L181" i="9"/>
  <c r="O180" i="9"/>
  <c r="N180" i="9"/>
  <c r="L180" i="9"/>
  <c r="O179" i="9"/>
  <c r="N179" i="9"/>
  <c r="L179" i="9"/>
  <c r="O178" i="9"/>
  <c r="N178" i="9"/>
  <c r="L178" i="9"/>
  <c r="O177" i="9"/>
  <c r="N177" i="9"/>
  <c r="L177" i="9"/>
  <c r="O176" i="9"/>
  <c r="N176" i="9"/>
  <c r="L176" i="9"/>
  <c r="O175" i="9"/>
  <c r="N175" i="9"/>
  <c r="L175" i="9"/>
  <c r="O174" i="9"/>
  <c r="N174" i="9"/>
  <c r="L174" i="9"/>
  <c r="O173" i="9"/>
  <c r="N173" i="9"/>
  <c r="L173" i="9"/>
  <c r="O172" i="9"/>
  <c r="N172" i="9"/>
  <c r="L172" i="9"/>
  <c r="O171" i="9"/>
  <c r="N171" i="9"/>
  <c r="L171" i="9"/>
  <c r="O170" i="9"/>
  <c r="N170" i="9"/>
  <c r="L170" i="9"/>
  <c r="O169" i="9"/>
  <c r="N169" i="9"/>
  <c r="L169" i="9"/>
  <c r="O168" i="9"/>
  <c r="N168" i="9"/>
  <c r="L168" i="9"/>
  <c r="O167" i="9"/>
  <c r="N167" i="9"/>
  <c r="L167" i="9"/>
  <c r="O166" i="9"/>
  <c r="N166" i="9"/>
  <c r="L166" i="9"/>
  <c r="O165" i="9"/>
  <c r="N165" i="9"/>
  <c r="L165" i="9"/>
  <c r="O164" i="9"/>
  <c r="N164" i="9"/>
  <c r="L164" i="9"/>
  <c r="O163" i="9"/>
  <c r="N163" i="9"/>
  <c r="L163" i="9"/>
  <c r="O162" i="9"/>
  <c r="N162" i="9"/>
  <c r="L162" i="9"/>
  <c r="O161" i="9"/>
  <c r="N161" i="9"/>
  <c r="L161" i="9"/>
  <c r="O160" i="9"/>
  <c r="N160" i="9"/>
  <c r="L160" i="9"/>
  <c r="O159" i="9"/>
  <c r="N159" i="9"/>
  <c r="L159" i="9"/>
  <c r="O158" i="9"/>
  <c r="N158" i="9"/>
  <c r="L158" i="9"/>
  <c r="O157" i="9"/>
  <c r="N157" i="9"/>
  <c r="L157" i="9"/>
  <c r="O156" i="9"/>
  <c r="N156" i="9"/>
  <c r="L156" i="9"/>
  <c r="O155" i="9"/>
  <c r="N155" i="9"/>
  <c r="L155" i="9"/>
  <c r="S50" i="2" a="1"/>
  <c r="S54" i="2" a="1"/>
  <c r="S197" i="2" a="1"/>
  <c r="S90" i="2" a="1"/>
  <c r="S39" i="2" a="1"/>
  <c r="S241" i="2" a="1"/>
  <c r="S224" i="2" a="1"/>
  <c r="S176" i="2" a="1"/>
  <c r="S92" i="2" a="1"/>
  <c r="S229" i="2" a="1"/>
  <c r="S93" i="2" a="1"/>
  <c r="S95" i="2" a="1"/>
  <c r="S186" i="2" a="1"/>
  <c r="S206" i="2" a="1"/>
  <c r="S155" i="2" a="1"/>
  <c r="S67" i="2" a="1"/>
  <c r="S148" i="2" a="1"/>
  <c r="S13" i="2" a="1"/>
  <c r="S252" i="2" a="1"/>
  <c r="S108" i="2" a="1"/>
  <c r="S139" i="2" a="1"/>
  <c r="S62" i="2" a="1"/>
  <c r="S51" i="2" a="1"/>
  <c r="S171" i="2" a="1"/>
  <c r="S72" i="2" a="1"/>
  <c r="S128" i="2" a="1"/>
  <c r="S78" i="2" a="1"/>
  <c r="S216" i="2" a="1"/>
  <c r="S21" i="2" a="1"/>
  <c r="S222" i="2" a="1"/>
  <c r="S48" i="2" a="1"/>
  <c r="S143" i="2" a="1"/>
  <c r="S173" i="2" a="1"/>
  <c r="S152" i="2" a="1"/>
  <c r="S121" i="2" a="1"/>
  <c r="S75" i="2" a="1"/>
  <c r="S245" i="2" a="1"/>
  <c r="S11" i="2" a="1"/>
  <c r="S163" i="2" a="1"/>
  <c r="S215" i="2" a="1"/>
  <c r="S56" i="2" a="1"/>
  <c r="S138" i="2" a="1"/>
  <c r="S22" i="2" a="1"/>
  <c r="S203" i="2" a="1"/>
  <c r="S204" i="2" a="1"/>
  <c r="S104" i="2" a="1"/>
  <c r="S122" i="2" a="1"/>
  <c r="S134" i="2" a="1"/>
  <c r="S117" i="2" a="1"/>
  <c r="S88" i="2" a="1"/>
  <c r="S168" i="2" a="1"/>
  <c r="S147" i="2" a="1"/>
  <c r="S217" i="2" a="1"/>
  <c r="S43" i="2" a="1"/>
  <c r="S199" i="2" a="1"/>
  <c r="S126" i="2" a="1"/>
  <c r="S145" i="2" a="1"/>
  <c r="S220" i="2" a="1"/>
  <c r="S200" i="2" a="1"/>
  <c r="S198" i="2" a="1"/>
  <c r="S237" i="2" a="1"/>
  <c r="S218" i="2" a="1"/>
  <c r="S183" i="2" a="1"/>
  <c r="S211" i="2" a="1"/>
  <c r="S240" i="2" a="1"/>
  <c r="S89" i="2" a="1"/>
  <c r="S244" i="2" a="1"/>
  <c r="S127" i="2" a="1"/>
  <c r="S226" i="2" a="1"/>
  <c r="S14" i="2" a="1"/>
  <c r="S79" i="2" a="1"/>
  <c r="S101" i="2" a="1"/>
  <c r="S189" i="2" a="1"/>
  <c r="S27" i="2" a="1"/>
  <c r="S49" i="2" a="1"/>
  <c r="S214" i="2" a="1"/>
  <c r="S30" i="2" a="1"/>
  <c r="S55" i="2" a="1"/>
  <c r="S103" i="2" a="1"/>
  <c r="S33" i="2" a="1"/>
  <c r="S157" i="2" a="1"/>
  <c r="S234" i="2" a="1"/>
  <c r="S174" i="2" a="1"/>
  <c r="S76" i="2" a="1"/>
  <c r="S192" i="2" a="1"/>
  <c r="S52" i="2" a="1"/>
  <c r="S250" i="2" a="1"/>
  <c r="S228" i="2" a="1"/>
  <c r="S201" i="2" a="1"/>
  <c r="S80" i="2" a="1"/>
  <c r="S63" i="2" a="1"/>
  <c r="S84" i="2" a="1"/>
  <c r="S71" i="2" a="1"/>
  <c r="S24" i="2" a="1"/>
  <c r="S149" i="2" a="1"/>
  <c r="S207" i="2" a="1"/>
  <c r="S185" i="2" a="1"/>
  <c r="S160" i="2" a="1"/>
  <c r="S131" i="2" a="1"/>
  <c r="S231" i="2" a="1"/>
  <c r="S210" i="2" a="1"/>
  <c r="S109" i="2" a="1"/>
  <c r="S132" i="2" a="1"/>
  <c r="S219" i="2" a="1"/>
  <c r="S164" i="2" a="1"/>
  <c r="S129" i="2" a="1"/>
  <c r="S154" i="2" a="1"/>
  <c r="S85" i="2" a="1"/>
  <c r="S232" i="2" a="1"/>
  <c r="S213" i="2" a="1"/>
  <c r="S66" i="2" a="1"/>
  <c r="S144" i="2" a="1"/>
  <c r="S61" i="2" a="1"/>
  <c r="S223" i="2" a="1"/>
  <c r="S7" i="2" a="1"/>
  <c r="S208" i="2" a="1"/>
  <c r="S96" i="2" a="1"/>
  <c r="S58" i="2" a="1"/>
  <c r="S230" i="2" a="1"/>
  <c r="S243" i="2" a="1"/>
  <c r="S141" i="2" a="1"/>
  <c r="S73" i="2" a="1"/>
  <c r="S125" i="2" a="1"/>
  <c r="S42" i="2" a="1"/>
  <c r="S238" i="2" a="1"/>
  <c r="S111" i="2" a="1"/>
  <c r="S46" i="2" a="1"/>
  <c r="S135" i="2" a="1"/>
  <c r="S64" i="2" a="1"/>
  <c r="S167" i="2" a="1"/>
  <c r="S180" i="2" a="1"/>
  <c r="S53" i="2" a="1"/>
  <c r="S102" i="2" a="1"/>
  <c r="S41" i="2" a="1"/>
  <c r="S60" i="2" a="1"/>
  <c r="S87" i="2" a="1"/>
  <c r="S184" i="2" a="1"/>
  <c r="S233" i="2" a="1"/>
  <c r="S57" i="2" a="1"/>
  <c r="S205" i="2" a="1"/>
  <c r="S146" i="2" a="1"/>
  <c r="S68" i="2" a="1"/>
  <c r="S190" i="2" a="1"/>
  <c r="S251" i="2" a="1"/>
  <c r="S17" i="2" a="1"/>
  <c r="S123" i="2" a="1"/>
  <c r="S165" i="2" a="1"/>
  <c r="S106" i="2" a="1"/>
  <c r="S97" i="2" a="1"/>
  <c r="S99" i="2" a="1"/>
  <c r="S191" i="2" a="1"/>
  <c r="S105" i="2" a="1"/>
  <c r="S159" i="2" a="1"/>
  <c r="S209" i="2" a="1"/>
  <c r="S26" i="2" a="1"/>
  <c r="S181" i="2" a="1"/>
  <c r="S100" i="2" a="1"/>
  <c r="S119" i="2" a="1"/>
  <c r="S74" i="2" a="1"/>
  <c r="S242" i="2" a="1"/>
  <c r="S114" i="2" a="1"/>
  <c r="S23" i="2" a="1"/>
  <c r="S16" i="2" a="1"/>
  <c r="S115" i="2" a="1"/>
  <c r="S136" i="2" a="1"/>
  <c r="S82" i="2" a="1"/>
  <c r="S83" i="2" a="1"/>
  <c r="S8" i="2" a="1"/>
  <c r="S236" i="2" a="1"/>
  <c r="S235" i="2" a="1"/>
  <c r="S116" i="2" a="1"/>
  <c r="S112" i="2" a="1"/>
  <c r="S44" i="2" a="1"/>
  <c r="S113" i="2" a="1"/>
  <c r="S202" i="2" a="1"/>
  <c r="S9" i="2" a="1"/>
  <c r="S77" i="2" a="1"/>
  <c r="S69" i="2" a="1"/>
  <c r="S221" i="2" a="1"/>
  <c r="S81" i="2" a="1"/>
  <c r="S133" i="2" a="1"/>
  <c r="S118" i="2" a="1"/>
  <c r="S19" i="2" a="1"/>
  <c r="S40" i="2" a="1"/>
  <c r="S161" i="2" a="1"/>
  <c r="S158" i="2" a="1"/>
  <c r="S196" i="2" a="1"/>
  <c r="S47" i="2" a="1"/>
  <c r="S36" i="2" a="1"/>
  <c r="S120" i="2" a="1"/>
  <c r="S170" i="2" a="1"/>
  <c r="S10" i="2" a="1"/>
  <c r="S18" i="2" a="1"/>
  <c r="S179" i="2" a="1"/>
  <c r="S175" i="2" a="1"/>
  <c r="S142" i="2" a="1"/>
  <c r="S162" i="2" a="1"/>
  <c r="S194" i="2" a="1"/>
  <c r="S91" i="2" a="1"/>
  <c r="S94" i="2" a="1"/>
  <c r="S156" i="2" a="1"/>
  <c r="S239" i="2" a="1"/>
  <c r="S150" i="2" a="1"/>
  <c r="S12" i="2" a="1"/>
  <c r="S59" i="2" a="1"/>
  <c r="S151" i="2" a="1"/>
  <c r="S65" i="2" a="1"/>
  <c r="S6" i="2" a="1"/>
  <c r="S177" i="2" a="1"/>
  <c r="S31" i="2" a="1"/>
  <c r="S137" i="2" a="1"/>
  <c r="S195" i="2" a="1"/>
  <c r="S246" i="2" a="1"/>
  <c r="S169" i="2" a="1"/>
  <c r="S227" i="2" a="1"/>
  <c r="S153" i="2" a="1"/>
  <c r="S130" i="2" a="1"/>
  <c r="S212" i="2" a="1"/>
  <c r="S110" i="2" a="1"/>
  <c r="S188" i="2" a="1"/>
  <c r="S187" i="2" a="1"/>
  <c r="S172" i="2" a="1"/>
  <c r="S20" i="2" a="1"/>
  <c r="S28" i="2" a="1"/>
  <c r="S140" i="2" a="1"/>
  <c r="S225" i="2" a="1"/>
  <c r="S4" i="2" a="1"/>
  <c r="S34" i="2" a="1"/>
  <c r="S86" i="2" a="1"/>
  <c r="S38" i="2" a="1"/>
  <c r="S35" i="2" a="1"/>
  <c r="S15" i="2" a="1"/>
  <c r="S45" i="2" a="1"/>
  <c r="S25" i="2" a="1"/>
  <c r="S182" i="2" a="1"/>
  <c r="S178" i="2" a="1"/>
  <c r="S166" i="2" a="1"/>
  <c r="S5" i="2" a="1"/>
  <c r="S124" i="2" a="1"/>
  <c r="S37" i="2" a="1"/>
  <c r="S249" i="2" a="1"/>
  <c r="S193" i="2" a="1"/>
  <c r="S29" i="2" a="1"/>
  <c r="S32" i="2" a="1"/>
  <c r="S70" i="2" a="1"/>
  <c r="S248" i="2" a="1"/>
  <c r="S247" i="2" a="1"/>
  <c r="S98" i="2" a="1"/>
  <c r="S107" i="2" a="1"/>
  <c r="R37" i="2" l="1"/>
  <c r="R101" i="2"/>
  <c r="R48" i="2"/>
  <c r="R13" i="2"/>
  <c r="R199" i="2"/>
  <c r="R148" i="2"/>
  <c r="R153" i="2"/>
  <c r="R52" i="2"/>
  <c r="R62" i="2"/>
  <c r="R162" i="2"/>
  <c r="R228" i="2"/>
  <c r="R87" i="2"/>
  <c r="R33" i="2"/>
  <c r="R44" i="2"/>
  <c r="R165" i="2"/>
  <c r="R220" i="2"/>
  <c r="R46" i="2"/>
  <c r="R130" i="2"/>
  <c r="R31" i="2"/>
  <c r="R94" i="2"/>
  <c r="R119" i="2"/>
  <c r="R196" i="2"/>
  <c r="R5" i="2"/>
  <c r="R209" i="2"/>
  <c r="R40" i="2"/>
  <c r="R183" i="2"/>
  <c r="R10" i="2"/>
  <c r="R204" i="2"/>
  <c r="R217" i="2"/>
  <c r="R238" i="2"/>
  <c r="R15" i="2"/>
  <c r="R57" i="2"/>
  <c r="R126" i="2"/>
  <c r="R182" i="2"/>
  <c r="R211" i="2"/>
  <c r="R18" i="2"/>
  <c r="R103" i="2"/>
  <c r="R120" i="2"/>
  <c r="R123" i="2"/>
  <c r="R186" i="2"/>
  <c r="R237" i="2"/>
  <c r="R241" i="2"/>
  <c r="R247" i="2"/>
  <c r="R7" i="2"/>
  <c r="R105" i="2"/>
  <c r="R109" i="2"/>
  <c r="R122" i="2"/>
  <c r="R125" i="2"/>
  <c r="R144" i="2"/>
  <c r="R205" i="2"/>
  <c r="R218" i="2"/>
  <c r="R222" i="2"/>
  <c r="R243" i="2"/>
  <c r="R14" i="2"/>
  <c r="R36" i="2"/>
  <c r="R151" i="2"/>
  <c r="R167" i="2"/>
  <c r="R49" i="2"/>
  <c r="R27" i="2"/>
  <c r="R54" i="2"/>
  <c r="R32" i="2"/>
  <c r="R100" i="2"/>
  <c r="R184" i="2"/>
  <c r="R89" i="2"/>
  <c r="R234" i="2"/>
  <c r="R20" i="2"/>
  <c r="R60" i="2"/>
  <c r="R85" i="2"/>
  <c r="R147" i="2"/>
  <c r="R124" i="2"/>
  <c r="R225" i="2"/>
  <c r="R168" i="2"/>
  <c r="R59" i="2"/>
  <c r="R113" i="2"/>
  <c r="R156" i="2"/>
  <c r="R172" i="2"/>
  <c r="R68" i="2"/>
  <c r="R80" i="2"/>
  <c r="R29" i="2"/>
  <c r="R42" i="2"/>
  <c r="R69" i="2"/>
  <c r="R137" i="2"/>
  <c r="R157" i="2"/>
  <c r="R197" i="2"/>
  <c r="R12" i="2"/>
  <c r="R81" i="2"/>
  <c r="R93" i="2"/>
  <c r="R110" i="2"/>
  <c r="R206" i="2"/>
  <c r="R8" i="2"/>
  <c r="R47" i="2"/>
  <c r="R90" i="2"/>
  <c r="R97" i="2"/>
  <c r="R161" i="2"/>
  <c r="R223" i="2"/>
  <c r="R227" i="2"/>
  <c r="R17" i="2"/>
  <c r="R106" i="2"/>
  <c r="R134" i="2"/>
  <c r="R170" i="2"/>
  <c r="R174" i="2"/>
  <c r="R250" i="2"/>
  <c r="R63" i="2"/>
  <c r="R71" i="2"/>
  <c r="R187" i="2"/>
  <c r="R6" i="2"/>
  <c r="R84" i="2"/>
  <c r="R45" i="2"/>
  <c r="R128" i="2"/>
  <c r="R152" i="2"/>
  <c r="R164" i="2"/>
  <c r="R180" i="2"/>
  <c r="R11" i="2"/>
  <c r="R50" i="2"/>
  <c r="R188" i="2"/>
  <c r="R230" i="2"/>
  <c r="R189" i="2"/>
  <c r="R73" i="2"/>
  <c r="R193" i="2"/>
  <c r="R202" i="2"/>
  <c r="R231" i="2"/>
  <c r="R244" i="2"/>
  <c r="R34" i="2"/>
  <c r="R129" i="2"/>
  <c r="R240" i="2"/>
  <c r="R21" i="2"/>
  <c r="R35" i="2"/>
  <c r="R43" i="2"/>
  <c r="R86" i="2"/>
  <c r="R138" i="2"/>
  <c r="R142" i="2"/>
  <c r="R198" i="2"/>
  <c r="R207" i="2"/>
  <c r="R215" i="2"/>
  <c r="R4" i="2"/>
  <c r="R118" i="2"/>
  <c r="R83" i="2"/>
  <c r="R67" i="2"/>
  <c r="R160" i="2"/>
  <c r="R158" i="2"/>
  <c r="R190" i="2"/>
  <c r="R219" i="2"/>
  <c r="R104" i="2"/>
  <c r="R229" i="2"/>
  <c r="R25" i="2"/>
  <c r="R70" i="2"/>
  <c r="R9" i="2"/>
  <c r="R116" i="2"/>
  <c r="R163" i="2"/>
  <c r="S83" i="2"/>
  <c r="S148" i="2"/>
  <c r="S174" i="2"/>
  <c r="S202" i="2"/>
  <c r="S208" i="2"/>
  <c r="S81" i="2"/>
  <c r="S103" i="2"/>
  <c r="S146" i="2"/>
  <c r="S9" i="2"/>
  <c r="S25" i="2"/>
  <c r="S54" i="2"/>
  <c r="S190" i="2"/>
  <c r="S199" i="2"/>
  <c r="S155" i="2"/>
  <c r="S34" i="2"/>
  <c r="S197" i="2"/>
  <c r="S209" i="2"/>
  <c r="S212" i="2"/>
  <c r="S63" i="2"/>
  <c r="S101" i="2"/>
  <c r="S158" i="2"/>
  <c r="S160" i="2"/>
  <c r="S24" i="2"/>
  <c r="S75" i="2"/>
  <c r="S116" i="2"/>
  <c r="S110" i="2"/>
  <c r="S15" i="2"/>
  <c r="S67" i="2"/>
  <c r="S216" i="2"/>
  <c r="S248" i="2"/>
  <c r="S6" i="2"/>
  <c r="S22" i="2"/>
  <c r="S50" i="2"/>
  <c r="S93" i="2"/>
  <c r="S167" i="2"/>
  <c r="S195" i="2"/>
  <c r="S109" i="2"/>
  <c r="S42" i="2"/>
  <c r="S241" i="2"/>
  <c r="S48" i="2"/>
  <c r="S53" i="2"/>
  <c r="S91" i="2"/>
  <c r="S130" i="2"/>
  <c r="S11" i="2"/>
  <c r="S18" i="2"/>
  <c r="S38" i="2"/>
  <c r="S69" i="2"/>
  <c r="S65" i="2"/>
  <c r="S96" i="2"/>
  <c r="S105" i="2"/>
  <c r="S193" i="2"/>
  <c r="S40" i="2"/>
  <c r="S192" i="2"/>
  <c r="S242" i="2"/>
  <c r="S5" i="2"/>
  <c r="S27" i="2"/>
  <c r="S16" i="2"/>
  <c r="S205" i="2"/>
  <c r="S162" i="2"/>
  <c r="S169" i="2"/>
  <c r="S228" i="2"/>
  <c r="S31" i="2"/>
  <c r="S57" i="2"/>
  <c r="S59" i="2"/>
  <c r="S78" i="2"/>
  <c r="S82" i="2"/>
  <c r="S89" i="2"/>
  <c r="S121" i="2"/>
  <c r="S180" i="2"/>
  <c r="S240" i="2"/>
  <c r="S237" i="2"/>
  <c r="S161" i="2"/>
  <c r="S19" i="2"/>
  <c r="S87" i="2"/>
  <c r="S163" i="2"/>
  <c r="S173" i="2"/>
  <c r="S227" i="2"/>
  <c r="S142" i="2"/>
  <c r="S8" i="2"/>
  <c r="S49" i="2"/>
  <c r="S74" i="2"/>
  <c r="S37" i="2"/>
  <c r="S47" i="2"/>
  <c r="S28" i="2"/>
  <c r="S64" i="2"/>
  <c r="S157" i="2"/>
  <c r="S30" i="2"/>
  <c r="S72" i="2"/>
  <c r="S126" i="2"/>
  <c r="S136" i="2"/>
  <c r="S152" i="2"/>
  <c r="S35" i="2"/>
  <c r="S119" i="2"/>
  <c r="S113" i="2"/>
  <c r="S115" i="2"/>
  <c r="S43" i="2"/>
  <c r="S45" i="2"/>
  <c r="S70" i="2"/>
  <c r="S194" i="2"/>
  <c r="S12" i="2"/>
  <c r="S97" i="2"/>
  <c r="S165" i="2"/>
  <c r="S178" i="2"/>
  <c r="S99" i="2"/>
  <c r="S106" i="2"/>
  <c r="S128" i="2"/>
  <c r="S21" i="2"/>
  <c r="S32" i="2"/>
  <c r="S14" i="2"/>
  <c r="S60" i="2"/>
  <c r="S120" i="2"/>
  <c r="S138" i="2"/>
  <c r="S184" i="2"/>
  <c r="S225" i="2"/>
  <c r="S168" i="2"/>
  <c r="S235" i="2"/>
  <c r="S244" i="2"/>
  <c r="S17" i="2"/>
  <c r="S20" i="2"/>
  <c r="S61" i="2"/>
  <c r="S66" i="2"/>
  <c r="S133" i="2"/>
  <c r="S135" i="2"/>
  <c r="S137" i="2"/>
  <c r="S141" i="2"/>
  <c r="S145" i="2"/>
  <c r="S247" i="2"/>
  <c r="S44" i="2"/>
  <c r="S206" i="2"/>
  <c r="S7" i="2"/>
  <c r="S23" i="2"/>
  <c r="S56" i="2"/>
  <c r="S84" i="2"/>
  <c r="S88" i="2"/>
  <c r="S104" i="2"/>
  <c r="S131" i="2"/>
  <c r="S185" i="2"/>
  <c r="S219" i="2"/>
  <c r="S221" i="2"/>
  <c r="S170" i="2"/>
  <c r="S189" i="2"/>
  <c r="S10" i="2"/>
  <c r="S26" i="2"/>
  <c r="S41" i="2"/>
  <c r="S51" i="2"/>
  <c r="S73" i="2"/>
  <c r="S98" i="2"/>
  <c r="S114" i="2"/>
  <c r="S147" i="2"/>
  <c r="S183" i="2"/>
  <c r="S200" i="2"/>
  <c r="S234" i="2"/>
  <c r="S33" i="2"/>
  <c r="S123" i="2"/>
  <c r="S125" i="2"/>
  <c r="S129" i="2"/>
  <c r="S13" i="2"/>
  <c r="S29" i="2"/>
  <c r="S58" i="2"/>
  <c r="S77" i="2"/>
  <c r="S94" i="2"/>
  <c r="S151" i="2"/>
  <c r="S153" i="2"/>
  <c r="S177" i="2"/>
  <c r="S179" i="2"/>
  <c r="S213" i="2"/>
  <c r="S187" i="2"/>
  <c r="S211" i="2"/>
  <c r="S218" i="2"/>
  <c r="S232" i="2"/>
  <c r="S251" i="2"/>
  <c r="S46" i="2"/>
  <c r="S62" i="2"/>
  <c r="S100" i="2"/>
  <c r="S132" i="2"/>
  <c r="S164" i="2"/>
  <c r="S196" i="2"/>
  <c r="S210" i="2"/>
  <c r="S215" i="2"/>
  <c r="S222" i="2"/>
  <c r="S229" i="2"/>
  <c r="S85" i="2"/>
  <c r="S90" i="2"/>
  <c r="S117" i="2"/>
  <c r="S122" i="2"/>
  <c r="S149" i="2"/>
  <c r="S154" i="2"/>
  <c r="S181" i="2"/>
  <c r="S186" i="2"/>
  <c r="S243" i="2"/>
  <c r="S250" i="2"/>
  <c r="S36" i="2"/>
  <c r="S52" i="2"/>
  <c r="S68" i="2"/>
  <c r="S80" i="2"/>
  <c r="S112" i="2"/>
  <c r="S144" i="2"/>
  <c r="S176" i="2"/>
  <c r="S203" i="2"/>
  <c r="S224" i="2"/>
  <c r="S39" i="2"/>
  <c r="S55" i="2"/>
  <c r="S71" i="2"/>
  <c r="S107" i="2"/>
  <c r="S139" i="2"/>
  <c r="S171" i="2"/>
  <c r="S226" i="2"/>
  <c r="S231" i="2"/>
  <c r="S238" i="2"/>
  <c r="S245" i="2"/>
  <c r="S86" i="2"/>
  <c r="S102" i="2"/>
  <c r="S118" i="2"/>
  <c r="S134" i="2"/>
  <c r="S150" i="2"/>
  <c r="S166" i="2"/>
  <c r="S182" i="2"/>
  <c r="S198" i="2"/>
  <c r="S214" i="2"/>
  <c r="S230" i="2"/>
  <c r="S246" i="2"/>
  <c r="S201" i="2"/>
  <c r="S217" i="2"/>
  <c r="S233" i="2"/>
  <c r="S249" i="2"/>
  <c r="S76" i="2"/>
  <c r="S92" i="2"/>
  <c r="S108" i="2"/>
  <c r="S124" i="2"/>
  <c r="S140" i="2"/>
  <c r="S156" i="2"/>
  <c r="S172" i="2"/>
  <c r="S188" i="2"/>
  <c r="S204" i="2"/>
  <c r="S220" i="2"/>
  <c r="S236" i="2"/>
  <c r="S252" i="2"/>
  <c r="S79" i="2"/>
  <c r="S95" i="2"/>
  <c r="S111" i="2"/>
  <c r="S127" i="2"/>
  <c r="S143" i="2"/>
  <c r="S159" i="2"/>
  <c r="S175" i="2"/>
  <c r="S191" i="2"/>
  <c r="S207" i="2"/>
  <c r="S223" i="2"/>
  <c r="S239" i="2"/>
  <c r="R78" i="2"/>
  <c r="R24" i="2"/>
  <c r="R61" i="2"/>
  <c r="R22" i="2"/>
  <c r="R74" i="2"/>
  <c r="R224" i="2"/>
  <c r="R132" i="2"/>
  <c r="R201" i="2"/>
  <c r="R216" i="2"/>
  <c r="R248" i="2"/>
  <c r="R39" i="2"/>
  <c r="R55" i="2"/>
  <c r="R98" i="2"/>
  <c r="R95" i="2"/>
  <c r="R72" i="2"/>
  <c r="R107" i="2"/>
  <c r="R213" i="2"/>
  <c r="R245" i="2"/>
  <c r="R30" i="2"/>
  <c r="R65" i="2"/>
  <c r="R76" i="2"/>
  <c r="R96" i="2"/>
  <c r="R99" i="2"/>
  <c r="R145" i="2"/>
  <c r="R28" i="2"/>
  <c r="R149" i="2"/>
  <c r="R19" i="2"/>
  <c r="R121" i="2"/>
  <c r="R64" i="2"/>
  <c r="R82" i="2"/>
  <c r="R235" i="2"/>
  <c r="R56" i="2"/>
  <c r="R53" i="2"/>
  <c r="R127" i="2"/>
  <c r="R133" i="2"/>
  <c r="R154" i="2"/>
  <c r="R192" i="2"/>
  <c r="R210" i="2"/>
  <c r="R242" i="2"/>
  <c r="R108" i="2"/>
  <c r="R115" i="2"/>
  <c r="R117" i="2"/>
  <c r="R26" i="2"/>
  <c r="R214" i="2"/>
  <c r="R23" i="2"/>
  <c r="R112" i="2"/>
  <c r="R140" i="2"/>
  <c r="R246" i="2"/>
  <c r="R177" i="2"/>
  <c r="R185" i="2"/>
  <c r="R178" i="2"/>
  <c r="R203" i="2"/>
  <c r="R232" i="2"/>
  <c r="R58" i="2"/>
  <c r="R251" i="2"/>
  <c r="R173" i="2"/>
  <c r="R77" i="2"/>
  <c r="R176" i="2"/>
  <c r="R41" i="2"/>
  <c r="R51" i="2"/>
  <c r="R92" i="2"/>
  <c r="R111" i="2"/>
  <c r="R16" i="2"/>
  <c r="R79" i="2"/>
  <c r="R155" i="2"/>
  <c r="R166" i="2"/>
  <c r="R169" i="2"/>
  <c r="R179" i="2"/>
  <c r="R233" i="2"/>
  <c r="R249" i="2"/>
  <c r="R181" i="2"/>
  <c r="R194" i="2"/>
  <c r="R102" i="2"/>
  <c r="R143" i="2"/>
  <c r="R38" i="2"/>
  <c r="R75" i="2"/>
  <c r="R88" i="2"/>
  <c r="R131" i="2"/>
  <c r="R141" i="2"/>
  <c r="R146" i="2"/>
  <c r="R212" i="2"/>
  <c r="R236" i="2"/>
  <c r="R239" i="2"/>
  <c r="R114" i="2"/>
  <c r="R175" i="2"/>
  <c r="R159" i="2"/>
  <c r="R226" i="2"/>
  <c r="R252" i="2"/>
  <c r="R139" i="2"/>
  <c r="S4" i="2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R6" i="9" a="1"/>
  <c r="R6" i="9" s="1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C6" i="9" a="1"/>
  <c r="C6" i="9" s="1"/>
  <c r="S3" i="5"/>
  <c r="R5" i="9" l="1" a="1"/>
  <c r="R5" i="9" s="1"/>
  <c r="R7" i="9" s="1"/>
  <c r="R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<sst xmlns="http://schemas.openxmlformats.org/spreadsheetml/2006/main" count="96" uniqueCount="57">
  <si>
    <t>Investment</t>
  </si>
  <si>
    <t>Ticker</t>
  </si>
  <si>
    <t>Date</t>
  </si>
  <si>
    <t># of Shares</t>
  </si>
  <si>
    <t>Cost</t>
  </si>
  <si>
    <t>ACB</t>
  </si>
  <si>
    <t>End Cost</t>
  </si>
  <si>
    <t>Ending ACB</t>
  </si>
  <si>
    <t>Realized Gain</t>
  </si>
  <si>
    <t>Unrealized Gain</t>
  </si>
  <si>
    <t>Symbol</t>
  </si>
  <si>
    <t>Charges/Interest ($)</t>
  </si>
  <si>
    <t>Amount ($)</t>
  </si>
  <si>
    <t>Limit Price ($)</t>
  </si>
  <si>
    <t>Settle/Payable Date</t>
  </si>
  <si>
    <t>Expiration Date</t>
  </si>
  <si>
    <t>Total Pending Transactions</t>
  </si>
  <si>
    <t>Total Positions (Securities)</t>
  </si>
  <si>
    <t>Total Cash &amp; Cash Investments</t>
  </si>
  <si>
    <t>TOTAL ENDING ACCOUNT VALUE</t>
  </si>
  <si>
    <t>Transactions</t>
  </si>
  <si>
    <t>Trans. Type</t>
  </si>
  <si>
    <t>Description/Investment</t>
  </si>
  <si>
    <t>$ per Share</t>
  </si>
  <si>
    <t>Total Amount ($)</t>
  </si>
  <si>
    <t xml:space="preserve"> </t>
  </si>
  <si>
    <t>Currency</t>
  </si>
  <si>
    <t>Total Realized Gain</t>
  </si>
  <si>
    <t>Ending share balance</t>
  </si>
  <si>
    <t>FMV/Unit</t>
  </si>
  <si>
    <t>FMV Total</t>
  </si>
  <si>
    <t>Ticker:</t>
  </si>
  <si>
    <t>Total Shares</t>
  </si>
  <si>
    <t>Book Cost</t>
  </si>
  <si>
    <t>Outputs:</t>
  </si>
  <si>
    <t>Amount</t>
  </si>
  <si>
    <t>Beginning balances</t>
  </si>
  <si>
    <t>Proceeds</t>
  </si>
  <si>
    <t>Asset Identifyer</t>
  </si>
  <si>
    <t>Beginning Balances</t>
  </si>
  <si>
    <t>XYZ</t>
  </si>
  <si>
    <t>Ending Balances as of [DD-MMM-YYYY]</t>
  </si>
  <si>
    <t>Ending # of shares</t>
  </si>
  <si>
    <t>FX Rate</t>
  </si>
  <si>
    <t>Net Change in Position</t>
  </si>
  <si>
    <t>Change in # of Shares</t>
  </si>
  <si>
    <t>Dividends Received</t>
  </si>
  <si>
    <t>Net Proceeds (proceeds - buys)</t>
  </si>
  <si>
    <t>Reconciliaton</t>
  </si>
  <si>
    <t>xx</t>
  </si>
  <si>
    <t>Total Securities Value</t>
  </si>
  <si>
    <t>Calculated</t>
  </si>
  <si>
    <t>Broker Values</t>
  </si>
  <si>
    <t>Check</t>
  </si>
  <si>
    <t>Cash Balance</t>
  </si>
  <si>
    <t>Total Account Value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</si>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</sst>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  <numFmt numFmtId="165" formatCode="mmm/dd/yyyy"/>
    <numFmt numFmtId="166" formatCode="&quot;$&quot;#,##0.00;\-&quot;$&quot;#,##0.00;\-\ \-"/>
    <numFmt numFmtId="167" formatCode="&quot;$&quot;#,##0.00000_);\(&quot;$&quot;#,##0.00000\)"/>
    <numFmt numFmtId="168" formatCode="#,##0.00;\-#,##0.00;\-\ \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/>
    <xf numFmtId="0" fontId="5" fillId="2" borderId="0" xfId="0" applyFont="1" applyFill="1"/>
    <xf numFmtId="0" fontId="0" fillId="2" borderId="0" xfId="0" applyFill="1"/>
    <xf numFmtId="1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0" fillId="0" borderId="0" xfId="0" applyNumberFormat="1"/>
    <xf numFmtId="0" fontId="5" fillId="2" borderId="0" xfId="0" applyFont="1" applyFill="1" applyAlignment="1">
      <alignment horizontal="left" indent="1"/>
    </xf>
    <xf numFmtId="0" fontId="0" fillId="0" borderId="0" xfId="0" applyAlignment="1">
      <alignment horizontal="center"/>
    </xf>
    <xf numFmtId="4" fontId="0" fillId="0" borderId="0" xfId="0" applyNumberFormat="1"/>
    <xf numFmtId="7" fontId="0" fillId="0" borderId="0" xfId="1" applyNumberFormat="1" applyFont="1"/>
    <xf numFmtId="7" fontId="0" fillId="0" borderId="0" xfId="0" applyNumberFormat="1"/>
    <xf numFmtId="0" fontId="3" fillId="4" borderId="0" xfId="0" applyFont="1" applyFill="1"/>
    <xf numFmtId="0" fontId="3" fillId="4" borderId="0" xfId="0" applyFont="1" applyFill="1" applyAlignment="1">
      <alignment horizontal="left"/>
    </xf>
    <xf numFmtId="166" fontId="0" fillId="0" borderId="0" xfId="0" applyNumberFormat="1"/>
    <xf numFmtId="0" fontId="3" fillId="3" borderId="1" xfId="0" applyFont="1" applyFill="1" applyBorder="1"/>
    <xf numFmtId="0" fontId="0" fillId="3" borderId="0" xfId="0" applyFill="1"/>
    <xf numFmtId="0" fontId="0" fillId="0" borderId="2" xfId="0" applyBorder="1"/>
    <xf numFmtId="0" fontId="0" fillId="2" borderId="2" xfId="0" applyFill="1" applyBorder="1"/>
    <xf numFmtId="0" fontId="3" fillId="4" borderId="2" xfId="0" applyFont="1" applyFill="1" applyBorder="1" applyAlignment="1">
      <alignment horizontal="left"/>
    </xf>
    <xf numFmtId="7" fontId="0" fillId="0" borderId="2" xfId="1" applyNumberFormat="1" applyFont="1" applyBorder="1"/>
    <xf numFmtId="167" fontId="0" fillId="0" borderId="0" xfId="1" applyNumberFormat="1" applyFont="1"/>
    <xf numFmtId="0" fontId="2" fillId="5" borderId="0" xfId="0" applyFont="1" applyFill="1"/>
    <xf numFmtId="0" fontId="0" fillId="0" borderId="3" xfId="0" applyBorder="1"/>
    <xf numFmtId="0" fontId="5" fillId="2" borderId="3" xfId="0" applyFont="1" applyFill="1" applyBorder="1" applyAlignment="1">
      <alignment horizontal="left" indent="1"/>
    </xf>
    <xf numFmtId="0" fontId="3" fillId="4" borderId="3" xfId="0" applyFont="1" applyFill="1" applyBorder="1" applyAlignment="1">
      <alignment horizontal="left"/>
    </xf>
    <xf numFmtId="166" fontId="0" fillId="0" borderId="3" xfId="0" applyNumberFormat="1" applyBorder="1"/>
    <xf numFmtId="0" fontId="3" fillId="3" borderId="4" xfId="0" applyFont="1" applyFill="1" applyBorder="1" applyAlignment="1">
      <alignment horizontal="left" indent="1"/>
    </xf>
    <xf numFmtId="0" fontId="0" fillId="3" borderId="4" xfId="0" applyFill="1" applyBorder="1"/>
    <xf numFmtId="166" fontId="0" fillId="3" borderId="0" xfId="0" applyNumberFormat="1" applyFill="1"/>
    <xf numFmtId="168" fontId="0" fillId="0" borderId="0" xfId="0" applyNumberFormat="1"/>
    <xf numFmtId="0" fontId="3" fillId="6" borderId="0" xfId="0" applyFont="1" applyFill="1"/>
    <xf numFmtId="165" fontId="3" fillId="6" borderId="0" xfId="0" applyNumberFormat="1" applyFont="1" applyFill="1"/>
    <xf numFmtId="166" fontId="3" fillId="6" borderId="0" xfId="0" applyNumberFormat="1" applyFont="1" applyFill="1"/>
    <xf numFmtId="2" fontId="3" fillId="6" borderId="3" xfId="0" applyNumberFormat="1" applyFont="1" applyFill="1" applyBorder="1"/>
    <xf numFmtId="168" fontId="3" fillId="6" borderId="0" xfId="0" applyNumberFormat="1" applyFont="1" applyFill="1"/>
    <xf numFmtId="0" fontId="6" fillId="2" borderId="0" xfId="0" applyFont="1" applyFill="1" applyAlignment="1">
      <alignment horizontal="center"/>
    </xf>
    <xf numFmtId="166" fontId="0" fillId="3" borderId="0" xfId="0" applyNumberFormat="1" applyFill="1" applyAlignment="1">
      <alignment horizontal="right"/>
    </xf>
    <xf numFmtId="0" fontId="3" fillId="4" borderId="3" xfId="0" applyFont="1" applyFill="1" applyBorder="1"/>
    <xf numFmtId="0" fontId="0" fillId="2" borderId="0" xfId="0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D7DA08-6A76-4668-841D-C5D2CFD8D3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88ce2c0-dc96-44ac-8674-b71dad20404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3E71E-7BBE-4E73-AFA8-4869A18E3213}">
  <dimension ref="A2:AB253"/>
  <sheetViews>
    <sheetView showGridLines="0" topLeftCell="D1" zoomScale="81" workbookViewId="0">
      <selection activeCell="E4" sqref="E4"/>
    </sheetView>
  </sheetViews>
  <sheetFormatPr defaultRowHeight="15" x14ac:dyDescent="0.25"/>
  <cols>
    <col min="1" max="2" width="2.140625" customWidth="1"/>
    <col min="3" max="3" width="31.42578125" customWidth="1"/>
    <col min="7" max="7" width="2.140625" customWidth="1"/>
    <col min="8" max="10" width="17.85546875" customWidth="1"/>
    <col min="11" max="11" width="2.140625" customWidth="1"/>
    <col min="12" max="12" width="22.7109375" customWidth="1"/>
    <col min="13" max="13" width="25.140625" customWidth="1"/>
    <col min="14" max="14" width="21.5703125" customWidth="1"/>
    <col min="15" max="15" width="2.140625" customWidth="1"/>
    <col min="16" max="22" width="17.85546875" customWidth="1"/>
    <col min="23" max="23" width="2.140625" customWidth="1"/>
    <col min="24" max="24" width="20.5703125" customWidth="1"/>
    <col min="25" max="25" width="13.28515625" customWidth="1"/>
    <col min="26" max="26" width="13.5703125" customWidth="1"/>
    <col min="27" max="27" width="14.85546875" customWidth="1"/>
  </cols>
  <sheetData>
    <row r="2" spans="3:28" s="1" customFormat="1" ht="18.75" x14ac:dyDescent="0.3">
      <c r="C2" s="46" t="s">
        <v>38</v>
      </c>
      <c r="D2" s="46"/>
      <c r="E2" s="46"/>
      <c r="F2" s="46"/>
      <c r="H2" s="46" t="s">
        <v>39</v>
      </c>
      <c r="I2" s="46"/>
      <c r="J2" s="46"/>
      <c r="L2" s="39"/>
      <c r="M2" s="39" t="s">
        <v>44</v>
      </c>
      <c r="N2" s="39"/>
      <c r="O2" s="2"/>
      <c r="P2" s="46" t="s">
        <v>41</v>
      </c>
      <c r="Q2" s="46"/>
      <c r="R2" s="46"/>
      <c r="S2" s="46"/>
      <c r="T2" s="46"/>
      <c r="U2" s="46"/>
      <c r="V2" s="46"/>
      <c r="W2" s="2"/>
      <c r="X2" s="47" t="s">
        <v>48</v>
      </c>
      <c r="Y2" s="47"/>
      <c r="Z2" s="47"/>
      <c r="AA2" s="47"/>
      <c r="AB2" s="47"/>
    </row>
    <row r="3" spans="3:28" s="2" customFormat="1" x14ac:dyDescent="0.25">
      <c r="C3" s="15" t="s">
        <v>0</v>
      </c>
      <c r="D3" s="15" t="s">
        <v>1</v>
      </c>
      <c r="E3" s="15" t="s">
        <v>26</v>
      </c>
      <c r="F3" s="15" t="s">
        <v>43</v>
      </c>
      <c r="H3" s="15" t="s">
        <v>4</v>
      </c>
      <c r="I3" s="15" t="s">
        <v>3</v>
      </c>
      <c r="J3" s="15" t="s">
        <v>5</v>
      </c>
      <c r="L3" s="15" t="s">
        <v>45</v>
      </c>
      <c r="M3" s="15" t="s">
        <v>47</v>
      </c>
      <c r="N3" s="15" t="s">
        <v>46</v>
      </c>
      <c r="P3" s="15" t="s">
        <v>6</v>
      </c>
      <c r="Q3" s="15" t="s">
        <v>42</v>
      </c>
      <c r="R3" s="15" t="s">
        <v>7</v>
      </c>
      <c r="S3" s="41" t="s">
        <v>8</v>
      </c>
      <c r="T3" s="15" t="s">
        <v>29</v>
      </c>
      <c r="U3" s="15" t="s">
        <v>30</v>
      </c>
      <c r="V3" s="41" t="s">
        <v>9</v>
      </c>
      <c r="X3" s="7"/>
      <c r="Y3" s="44" t="s">
        <v>51</v>
      </c>
      <c r="Z3" s="44" t="s">
        <v>52</v>
      </c>
      <c r="AA3" s="44" t="s">
        <v>56</v>
      </c>
      <c r="AB3" s="44" t="s">
        <v>53</v>
      </c>
    </row>
    <row r="4" spans="3:28" x14ac:dyDescent="0.25">
      <c r="L4" s="33" cm="1">
        <f t="array" ref="L4">SUMPRODUCT(('Transaction Glossary'!F$5:F$999=D4)*('Transaction Glossary'!J$5:J$999))</f>
        <v>0</v>
      </c>
      <c r="M4" s="17" cm="1">
        <f t="array" ref="M4">SUMPRODUCT(('Transaction Glossary'!F$5:F$999=D4)*('Transaction Glossary'!K$5:K$999))</f>
        <v>0</v>
      </c>
      <c r="N4" s="17" cm="1">
        <f t="array" ref="N4">SUMPRODUCT(('Transaction Glossary'!F$5:F$999=D4)*('Transaction Glossary'!E$5:E$999="Dividend")*('Transaction Glossary'!K$5:K$999))</f>
        <v>0</v>
      </c>
      <c r="P4" s="17">
        <f>H4+M4</f>
        <v>0</v>
      </c>
      <c r="Q4" s="33">
        <f>I4+L4</f>
        <v>0</v>
      </c>
      <c r="R4" t="str">
        <f>IFERROR(P4/Q4, "")</f>
        <v/>
      </c>
      <c r="S4" s="26" t="str" cm="1">
        <f t="array" aca="1" ref="S4" ca="1">IFERROR(INDIRECT(D4&amp;"!R4"),"")</f>
        <v/>
      </c>
      <c r="V4" s="26"/>
      <c r="X4" s="7" t="s">
        <v>50</v>
      </c>
      <c r="Y4" s="44">
        <f>SUM(U4:U252)</f>
        <v>0</v>
      </c>
      <c r="Z4" s="44"/>
      <c r="AA4" s="44">
        <f>Y4-Z4</f>
        <v>0</v>
      </c>
      <c r="AB4" s="44" t="str">
        <f>IF(AA4=0,"✓","!")</f>
        <v>✓</v>
      </c>
    </row>
    <row r="5" spans="3:28" x14ac:dyDescent="0.25">
      <c r="L5" s="33" cm="1">
        <f t="array" ref="L5">SUMPRODUCT(('Transaction Glossary'!F$5:F$999=D5)*('Transaction Glossary'!J$5:J$999))</f>
        <v>0</v>
      </c>
      <c r="M5" s="17" cm="1">
        <f t="array" ref="M5">SUMPRODUCT(('Transaction Glossary'!F$5:F$999=D5)*('Transaction Glossary'!K$5:K$999))</f>
        <v>0</v>
      </c>
      <c r="N5" s="17" cm="1">
        <f t="array" ref="N5">SUMPRODUCT(('Transaction Glossary'!F$5:F$999=D5)*('Transaction Glossary'!E$5:E$999="Dividend")*('Transaction Glossary'!K$5:K$999))</f>
        <v>0</v>
      </c>
      <c r="P5" s="17">
        <f t="shared" ref="P5:P68" si="0">H5+M5</f>
        <v>0</v>
      </c>
      <c r="Q5" s="33">
        <f t="shared" ref="Q5:Q68" si="1">I5+L5</f>
        <v>0</v>
      </c>
      <c r="R5" t="str">
        <f t="shared" ref="R5:R68" si="2">IFERROR(P5/Q5, "")</f>
        <v/>
      </c>
      <c r="S5" s="26" t="str" cm="1">
        <f t="array" aca="1" ref="S5" ca="1">IFERROR(INDIRECT(D5&amp;"!R4"),"")</f>
        <v/>
      </c>
      <c r="V5" s="26"/>
      <c r="X5" s="7" t="s">
        <v>54</v>
      </c>
      <c r="Y5" s="44">
        <f>Y4</f>
        <v>0</v>
      </c>
      <c r="Z5" s="44"/>
      <c r="AA5" s="44">
        <f>Y5-Z5</f>
        <v>0</v>
      </c>
      <c r="AB5" s="44" t="str">
        <f t="shared" ref="AB5:AB6" si="3">IF(AA5=0,"✓","!")</f>
        <v>✓</v>
      </c>
    </row>
    <row r="6" spans="3:28" ht="15.75" thickBot="1" x14ac:dyDescent="0.3">
      <c r="L6" s="33" cm="1">
        <f t="array" ref="L6">SUMPRODUCT(('Transaction Glossary'!F$5:F$999=D6)*('Transaction Glossary'!J$5:J$999))</f>
        <v>0</v>
      </c>
      <c r="M6" s="17" cm="1">
        <f t="array" ref="M6">SUMPRODUCT(('Transaction Glossary'!F$5:F$999=D6)*('Transaction Glossary'!K$5:K$999))</f>
        <v>0</v>
      </c>
      <c r="N6" s="17" cm="1">
        <f t="array" ref="N6">SUMPRODUCT(('Transaction Glossary'!F$5:F$999=D6)*('Transaction Glossary'!E$5:E$999="Dividend")*('Transaction Glossary'!K$5:K$999))</f>
        <v>0</v>
      </c>
      <c r="P6" s="17">
        <f t="shared" si="0"/>
        <v>0</v>
      </c>
      <c r="Q6" s="33">
        <f t="shared" si="1"/>
        <v>0</v>
      </c>
      <c r="R6" t="str">
        <f t="shared" si="2"/>
        <v/>
      </c>
      <c r="S6" s="26" t="str" cm="1">
        <f t="array" aca="1" ref="S6" ca="1">IFERROR(INDIRECT(D6&amp;"!R4"),"")</f>
        <v/>
      </c>
      <c r="V6" s="26"/>
      <c r="X6" s="18" t="s">
        <v>55</v>
      </c>
      <c r="Y6" s="45">
        <f>Y5+Y4</f>
        <v>0</v>
      </c>
      <c r="Z6" s="45">
        <f t="shared" ref="Z6:AA6" si="4">Z5+Z4</f>
        <v>0</v>
      </c>
      <c r="AA6" s="45">
        <f t="shared" si="4"/>
        <v>0</v>
      </c>
      <c r="AB6" s="45" t="str">
        <f t="shared" si="3"/>
        <v>✓</v>
      </c>
    </row>
    <row r="7" spans="3:28" ht="15.75" thickTop="1" x14ac:dyDescent="0.25">
      <c r="L7" s="33" cm="1">
        <f t="array" ref="L7">SUMPRODUCT(('Transaction Glossary'!F$5:F$999=D7)*('Transaction Glossary'!J$5:J$999))</f>
        <v>0</v>
      </c>
      <c r="M7" s="17" cm="1">
        <f t="array" ref="M7">SUMPRODUCT(('Transaction Glossary'!F$5:F$999=D7)*('Transaction Glossary'!K$5:K$999))</f>
        <v>0</v>
      </c>
      <c r="N7" s="17" cm="1">
        <f t="array" ref="N7">SUMPRODUCT(('Transaction Glossary'!F$5:F$999=D7)*('Transaction Glossary'!E$5:E$999="Dividend")*('Transaction Glossary'!K$5:K$999))</f>
        <v>0</v>
      </c>
      <c r="P7" s="17">
        <f t="shared" si="0"/>
        <v>0</v>
      </c>
      <c r="Q7" s="33">
        <f t="shared" si="1"/>
        <v>0</v>
      </c>
      <c r="R7" t="str">
        <f t="shared" si="2"/>
        <v/>
      </c>
      <c r="S7" s="26" t="str" cm="1">
        <f t="array" aca="1" ref="S7" ca="1">IFERROR(INDIRECT(D7&amp;"!R4"),"")</f>
        <v/>
      </c>
      <c r="V7" s="26"/>
    </row>
    <row r="8" spans="3:28" x14ac:dyDescent="0.25">
      <c r="L8" s="33" cm="1">
        <f t="array" ref="L8">SUMPRODUCT(('Transaction Glossary'!F$5:F$999=D8)*('Transaction Glossary'!J$5:J$999))</f>
        <v>0</v>
      </c>
      <c r="M8" s="17" cm="1">
        <f t="array" ref="M8">SUMPRODUCT(('Transaction Glossary'!F$5:F$999=D8)*('Transaction Glossary'!K$5:K$999))</f>
        <v>0</v>
      </c>
      <c r="N8" s="17" cm="1">
        <f t="array" ref="N8">SUMPRODUCT(('Transaction Glossary'!F$5:F$999=D8)*('Transaction Glossary'!E$5:E$999="Dividend")*('Transaction Glossary'!K$5:K$999))</f>
        <v>0</v>
      </c>
      <c r="P8" s="17">
        <f t="shared" si="0"/>
        <v>0</v>
      </c>
      <c r="Q8" s="33">
        <f t="shared" si="1"/>
        <v>0</v>
      </c>
      <c r="R8" t="str">
        <f t="shared" si="2"/>
        <v/>
      </c>
      <c r="S8" s="26" t="str" cm="1">
        <f t="array" aca="1" ref="S8" ca="1">IFERROR(INDIRECT(D8&amp;"!R4"),"")</f>
        <v/>
      </c>
      <c r="V8" s="26"/>
    </row>
    <row r="9" spans="3:28" x14ac:dyDescent="0.25">
      <c r="L9" s="33" cm="1">
        <f t="array" ref="L9">SUMPRODUCT(('Transaction Glossary'!F$5:F$999=D9)*('Transaction Glossary'!J$5:J$999))</f>
        <v>0</v>
      </c>
      <c r="M9" s="17" cm="1">
        <f t="array" ref="M9">SUMPRODUCT(('Transaction Glossary'!F$5:F$999=D9)*('Transaction Glossary'!K$5:K$999))</f>
        <v>0</v>
      </c>
      <c r="N9" s="17" cm="1">
        <f t="array" ref="N9">SUMPRODUCT(('Transaction Glossary'!F$5:F$999=D9)*('Transaction Glossary'!E$5:E$999="Dividend")*('Transaction Glossary'!K$5:K$999))</f>
        <v>0</v>
      </c>
      <c r="P9" s="17">
        <f t="shared" si="0"/>
        <v>0</v>
      </c>
      <c r="Q9" s="33">
        <f t="shared" si="1"/>
        <v>0</v>
      </c>
      <c r="R9" t="str">
        <f t="shared" si="2"/>
        <v/>
      </c>
      <c r="S9" s="26" t="str" cm="1">
        <f t="array" aca="1" ref="S9" ca="1">IFERROR(INDIRECT(D9&amp;"!R4"),"")</f>
        <v/>
      </c>
      <c r="V9" s="26"/>
    </row>
    <row r="10" spans="3:28" x14ac:dyDescent="0.25">
      <c r="L10" s="33" cm="1">
        <f t="array" ref="L10">SUMPRODUCT(('Transaction Glossary'!F$5:F$999=D10)*('Transaction Glossary'!J$5:J$999))</f>
        <v>0</v>
      </c>
      <c r="M10" s="17" cm="1">
        <f t="array" ref="M10">SUMPRODUCT(('Transaction Glossary'!F$5:F$999=D10)*('Transaction Glossary'!K$5:K$999))</f>
        <v>0</v>
      </c>
      <c r="N10" s="17" cm="1">
        <f t="array" ref="N10">SUMPRODUCT(('Transaction Glossary'!F$5:F$999=D10)*('Transaction Glossary'!E$5:E$999="Dividend")*('Transaction Glossary'!K$5:K$999))</f>
        <v>0</v>
      </c>
      <c r="P10" s="17">
        <f t="shared" si="0"/>
        <v>0</v>
      </c>
      <c r="Q10" s="33">
        <f t="shared" si="1"/>
        <v>0</v>
      </c>
      <c r="R10" t="str">
        <f t="shared" si="2"/>
        <v/>
      </c>
      <c r="S10" s="26" t="str" cm="1">
        <f t="array" aca="1" ref="S10" ca="1">IFERROR(INDIRECT(D10&amp;"!R4"),"")</f>
        <v/>
      </c>
      <c r="V10" s="26"/>
    </row>
    <row r="11" spans="3:28" x14ac:dyDescent="0.25">
      <c r="L11" s="33" cm="1">
        <f t="array" ref="L11">SUMPRODUCT(('Transaction Glossary'!F$5:F$999=D11)*('Transaction Glossary'!J$5:J$999))</f>
        <v>0</v>
      </c>
      <c r="M11" s="17" cm="1">
        <f t="array" ref="M11">SUMPRODUCT(('Transaction Glossary'!F$5:F$999=D11)*('Transaction Glossary'!K$5:K$999))</f>
        <v>0</v>
      </c>
      <c r="N11" s="17" cm="1">
        <f t="array" ref="N11">SUMPRODUCT(('Transaction Glossary'!F$5:F$999=D11)*('Transaction Glossary'!E$5:E$999="Dividend")*('Transaction Glossary'!K$5:K$999))</f>
        <v>0</v>
      </c>
      <c r="P11" s="17">
        <f t="shared" si="0"/>
        <v>0</v>
      </c>
      <c r="Q11" s="33">
        <f t="shared" si="1"/>
        <v>0</v>
      </c>
      <c r="R11" t="str">
        <f t="shared" si="2"/>
        <v/>
      </c>
      <c r="S11" s="26" t="str" cm="1">
        <f t="array" aca="1" ref="S11" ca="1">IFERROR(INDIRECT(D11&amp;"!R4"),"")</f>
        <v/>
      </c>
      <c r="V11" s="26"/>
    </row>
    <row r="12" spans="3:28" x14ac:dyDescent="0.25">
      <c r="L12" s="33" cm="1">
        <f t="array" ref="L12">SUMPRODUCT(('Transaction Glossary'!F$5:F$999=D12)*('Transaction Glossary'!J$5:J$999))</f>
        <v>0</v>
      </c>
      <c r="M12" s="17" cm="1">
        <f t="array" ref="M12">SUMPRODUCT(('Transaction Glossary'!F$5:F$999=D12)*('Transaction Glossary'!K$5:K$999))</f>
        <v>0</v>
      </c>
      <c r="N12" s="17" cm="1">
        <f t="array" ref="N12">SUMPRODUCT(('Transaction Glossary'!F$5:F$999=D12)*('Transaction Glossary'!E$5:E$999="Dividend")*('Transaction Glossary'!K$5:K$999))</f>
        <v>0</v>
      </c>
      <c r="P12" s="17">
        <f t="shared" si="0"/>
        <v>0</v>
      </c>
      <c r="Q12" s="33">
        <f t="shared" si="1"/>
        <v>0</v>
      </c>
      <c r="R12" t="str">
        <f t="shared" si="2"/>
        <v/>
      </c>
      <c r="S12" s="26" t="str" cm="1">
        <f t="array" aca="1" ref="S12" ca="1">IFERROR(INDIRECT(D12&amp;"!R4"),"")</f>
        <v/>
      </c>
      <c r="V12" s="26"/>
    </row>
    <row r="13" spans="3:28" x14ac:dyDescent="0.25">
      <c r="L13" s="33" cm="1">
        <f t="array" ref="L13">SUMPRODUCT(('Transaction Glossary'!F$5:F$999=D13)*('Transaction Glossary'!J$5:J$999))</f>
        <v>0</v>
      </c>
      <c r="M13" s="17" cm="1">
        <f t="array" ref="M13">SUMPRODUCT(('Transaction Glossary'!F$5:F$999=D13)*('Transaction Glossary'!K$5:K$999))</f>
        <v>0</v>
      </c>
      <c r="N13" s="17" cm="1">
        <f t="array" ref="N13">SUMPRODUCT(('Transaction Glossary'!F$5:F$999=D13)*('Transaction Glossary'!E$5:E$999="Dividend")*('Transaction Glossary'!K$5:K$999))</f>
        <v>0</v>
      </c>
      <c r="P13" s="17">
        <f t="shared" si="0"/>
        <v>0</v>
      </c>
      <c r="Q13" s="33">
        <f t="shared" si="1"/>
        <v>0</v>
      </c>
      <c r="R13" t="str">
        <f t="shared" si="2"/>
        <v/>
      </c>
      <c r="S13" s="26" t="str" cm="1">
        <f t="array" aca="1" ref="S13" ca="1">IFERROR(INDIRECT(D13&amp;"!R4"),"")</f>
        <v/>
      </c>
      <c r="V13" s="26"/>
    </row>
    <row r="14" spans="3:28" x14ac:dyDescent="0.25">
      <c r="L14" s="33" cm="1">
        <f t="array" ref="L14">SUMPRODUCT(('Transaction Glossary'!F$5:F$999=D14)*('Transaction Glossary'!J$5:J$999))</f>
        <v>0</v>
      </c>
      <c r="M14" s="17" cm="1">
        <f t="array" ref="M14">SUMPRODUCT(('Transaction Glossary'!F$5:F$999=D14)*('Transaction Glossary'!K$5:K$999))</f>
        <v>0</v>
      </c>
      <c r="N14" s="17" cm="1">
        <f t="array" ref="N14">SUMPRODUCT(('Transaction Glossary'!F$5:F$999=D14)*('Transaction Glossary'!E$5:E$999="Dividend")*('Transaction Glossary'!K$5:K$999))</f>
        <v>0</v>
      </c>
      <c r="P14" s="17">
        <f t="shared" si="0"/>
        <v>0</v>
      </c>
      <c r="Q14" s="33">
        <f t="shared" si="1"/>
        <v>0</v>
      </c>
      <c r="R14" t="str">
        <f t="shared" si="2"/>
        <v/>
      </c>
      <c r="S14" s="26" t="str" cm="1">
        <f t="array" aca="1" ref="S14" ca="1">IFERROR(INDIRECT(D14&amp;"!R4"),"")</f>
        <v/>
      </c>
      <c r="V14" s="26"/>
    </row>
    <row r="15" spans="3:28" x14ac:dyDescent="0.25">
      <c r="L15" s="33" cm="1">
        <f t="array" ref="L15">SUMPRODUCT(('Transaction Glossary'!F$5:F$999=D15)*('Transaction Glossary'!J$5:J$999))</f>
        <v>0</v>
      </c>
      <c r="M15" s="17" cm="1">
        <f t="array" ref="M15">SUMPRODUCT(('Transaction Glossary'!F$5:F$999=D15)*('Transaction Glossary'!K$5:K$999))</f>
        <v>0</v>
      </c>
      <c r="N15" s="17" cm="1">
        <f t="array" ref="N15">SUMPRODUCT(('Transaction Glossary'!F$5:F$999=D15)*('Transaction Glossary'!E$5:E$999="Dividend")*('Transaction Glossary'!K$5:K$999))</f>
        <v>0</v>
      </c>
      <c r="P15" s="17">
        <f t="shared" si="0"/>
        <v>0</v>
      </c>
      <c r="Q15" s="33">
        <f t="shared" si="1"/>
        <v>0</v>
      </c>
      <c r="R15" t="str">
        <f t="shared" si="2"/>
        <v/>
      </c>
      <c r="S15" s="26" t="str" cm="1">
        <f t="array" aca="1" ref="S15" ca="1">IFERROR(INDIRECT(D15&amp;"!R4"),"")</f>
        <v/>
      </c>
      <c r="V15" s="26"/>
    </row>
    <row r="16" spans="3:28" x14ac:dyDescent="0.25">
      <c r="L16" s="33" cm="1">
        <f t="array" ref="L16">SUMPRODUCT(('Transaction Glossary'!F$5:F$999=D16)*('Transaction Glossary'!J$5:J$999))</f>
        <v>0</v>
      </c>
      <c r="M16" s="17" cm="1">
        <f t="array" ref="M16">SUMPRODUCT(('Transaction Glossary'!F$5:F$999=D16)*('Transaction Glossary'!K$5:K$999))</f>
        <v>0</v>
      </c>
      <c r="N16" s="17" cm="1">
        <f t="array" ref="N16">SUMPRODUCT(('Transaction Glossary'!F$5:F$999=D16)*('Transaction Glossary'!E$5:E$999="Dividend")*('Transaction Glossary'!K$5:K$999))</f>
        <v>0</v>
      </c>
      <c r="P16" s="17">
        <f t="shared" si="0"/>
        <v>0</v>
      </c>
      <c r="Q16" s="33">
        <f t="shared" si="1"/>
        <v>0</v>
      </c>
      <c r="R16" t="str">
        <f t="shared" si="2"/>
        <v/>
      </c>
      <c r="S16" s="26" t="str" cm="1">
        <f t="array" aca="1" ref="S16" ca="1">IFERROR(INDIRECT(D16&amp;"!R4"),"")</f>
        <v/>
      </c>
      <c r="V16" s="26"/>
    </row>
    <row r="17" spans="12:22" x14ac:dyDescent="0.25">
      <c r="L17" s="33" cm="1">
        <f t="array" ref="L17">SUMPRODUCT(('Transaction Glossary'!F$5:F$999=D17)*('Transaction Glossary'!J$5:J$999))</f>
        <v>0</v>
      </c>
      <c r="M17" s="17" cm="1">
        <f t="array" ref="M17">SUMPRODUCT(('Transaction Glossary'!F$5:F$999=D17)*('Transaction Glossary'!K$5:K$999))</f>
        <v>0</v>
      </c>
      <c r="N17" s="17" cm="1">
        <f t="array" ref="N17">SUMPRODUCT(('Transaction Glossary'!F$5:F$999=D17)*('Transaction Glossary'!E$5:E$999="Dividend")*('Transaction Glossary'!K$5:K$999))</f>
        <v>0</v>
      </c>
      <c r="P17" s="17">
        <f t="shared" si="0"/>
        <v>0</v>
      </c>
      <c r="Q17" s="33">
        <f t="shared" si="1"/>
        <v>0</v>
      </c>
      <c r="R17" t="str">
        <f t="shared" si="2"/>
        <v/>
      </c>
      <c r="S17" s="26" t="str" cm="1">
        <f t="array" aca="1" ref="S17" ca="1">IFERROR(INDIRECT(D17&amp;"!R4"),"")</f>
        <v/>
      </c>
      <c r="V17" s="26"/>
    </row>
    <row r="18" spans="12:22" x14ac:dyDescent="0.25">
      <c r="L18" s="33" cm="1">
        <f t="array" ref="L18">SUMPRODUCT(('Transaction Glossary'!F$5:F$999=D18)*('Transaction Glossary'!J$5:J$999))</f>
        <v>0</v>
      </c>
      <c r="M18" s="17" cm="1">
        <f t="array" ref="M18">SUMPRODUCT(('Transaction Glossary'!F$5:F$999=D18)*('Transaction Glossary'!K$5:K$999))</f>
        <v>0</v>
      </c>
      <c r="N18" s="17" cm="1">
        <f t="array" ref="N18">SUMPRODUCT(('Transaction Glossary'!F$5:F$999=D18)*('Transaction Glossary'!E$5:E$999="Dividend")*('Transaction Glossary'!K$5:K$999))</f>
        <v>0</v>
      </c>
      <c r="P18" s="17">
        <f t="shared" si="0"/>
        <v>0</v>
      </c>
      <c r="Q18" s="33">
        <f t="shared" si="1"/>
        <v>0</v>
      </c>
      <c r="R18" t="str">
        <f t="shared" si="2"/>
        <v/>
      </c>
      <c r="S18" s="26" t="str" cm="1">
        <f t="array" aca="1" ref="S18" ca="1">IFERROR(INDIRECT(D18&amp;"!R4"),"")</f>
        <v/>
      </c>
      <c r="V18" s="26"/>
    </row>
    <row r="19" spans="12:22" x14ac:dyDescent="0.25">
      <c r="L19" s="33" cm="1">
        <f t="array" ref="L19">SUMPRODUCT(('Transaction Glossary'!F$5:F$999=D19)*('Transaction Glossary'!J$5:J$999))</f>
        <v>0</v>
      </c>
      <c r="M19" s="17" cm="1">
        <f t="array" ref="M19">SUMPRODUCT(('Transaction Glossary'!F$5:F$999=D19)*('Transaction Glossary'!K$5:K$999))</f>
        <v>0</v>
      </c>
      <c r="N19" s="17" cm="1">
        <f t="array" ref="N19">SUMPRODUCT(('Transaction Glossary'!F$5:F$999=D19)*('Transaction Glossary'!E$5:E$999="Dividend")*('Transaction Glossary'!K$5:K$999))</f>
        <v>0</v>
      </c>
      <c r="P19" s="17">
        <f t="shared" si="0"/>
        <v>0</v>
      </c>
      <c r="Q19" s="33">
        <f t="shared" si="1"/>
        <v>0</v>
      </c>
      <c r="R19" t="str">
        <f t="shared" si="2"/>
        <v/>
      </c>
      <c r="S19" s="26" t="str" cm="1">
        <f t="array" aca="1" ref="S19" ca="1">IFERROR(INDIRECT(D19&amp;"!R4"),"")</f>
        <v/>
      </c>
      <c r="V19" s="26"/>
    </row>
    <row r="20" spans="12:22" x14ac:dyDescent="0.25">
      <c r="L20" s="33" cm="1">
        <f t="array" ref="L20">SUMPRODUCT(('Transaction Glossary'!F$5:F$999=D20)*('Transaction Glossary'!J$5:J$999))</f>
        <v>0</v>
      </c>
      <c r="M20" s="17" cm="1">
        <f t="array" ref="M20">SUMPRODUCT(('Transaction Glossary'!F$5:F$999=D20)*('Transaction Glossary'!K$5:K$999))</f>
        <v>0</v>
      </c>
      <c r="N20" s="17" cm="1">
        <f t="array" ref="N20">SUMPRODUCT(('Transaction Glossary'!F$5:F$999=D20)*('Transaction Glossary'!E$5:E$999="Dividend")*('Transaction Glossary'!K$5:K$999))</f>
        <v>0</v>
      </c>
      <c r="P20" s="17">
        <f t="shared" si="0"/>
        <v>0</v>
      </c>
      <c r="Q20" s="33">
        <f t="shared" si="1"/>
        <v>0</v>
      </c>
      <c r="R20" t="str">
        <f t="shared" si="2"/>
        <v/>
      </c>
      <c r="S20" s="26" t="str" cm="1">
        <f t="array" aca="1" ref="S20" ca="1">IFERROR(INDIRECT(D20&amp;"!R4"),"")</f>
        <v/>
      </c>
      <c r="V20" s="26"/>
    </row>
    <row r="21" spans="12:22" x14ac:dyDescent="0.25">
      <c r="L21" s="33" cm="1">
        <f t="array" ref="L21">SUMPRODUCT(('Transaction Glossary'!F$5:F$999=D21)*('Transaction Glossary'!J$5:J$999))</f>
        <v>0</v>
      </c>
      <c r="M21" s="17" cm="1">
        <f t="array" ref="M21">SUMPRODUCT(('Transaction Glossary'!F$5:F$999=D21)*('Transaction Glossary'!K$5:K$999))</f>
        <v>0</v>
      </c>
      <c r="N21" s="17" cm="1">
        <f t="array" ref="N21">SUMPRODUCT(('Transaction Glossary'!F$5:F$999=D21)*('Transaction Glossary'!E$5:E$999="Dividend")*('Transaction Glossary'!K$5:K$999))</f>
        <v>0</v>
      </c>
      <c r="P21" s="17">
        <f t="shared" si="0"/>
        <v>0</v>
      </c>
      <c r="Q21" s="33">
        <f t="shared" si="1"/>
        <v>0</v>
      </c>
      <c r="R21" t="str">
        <f t="shared" si="2"/>
        <v/>
      </c>
      <c r="S21" s="26" t="str" cm="1">
        <f t="array" aca="1" ref="S21" ca="1">IFERROR(INDIRECT(D21&amp;"!R4"),"")</f>
        <v/>
      </c>
      <c r="V21" s="26"/>
    </row>
    <row r="22" spans="12:22" x14ac:dyDescent="0.25">
      <c r="L22" s="33" cm="1">
        <f t="array" ref="L22">SUMPRODUCT(('Transaction Glossary'!F$5:F$999=D22)*('Transaction Glossary'!J$5:J$999))</f>
        <v>0</v>
      </c>
      <c r="M22" s="17" cm="1">
        <f t="array" ref="M22">SUMPRODUCT(('Transaction Glossary'!F$5:F$999=D22)*('Transaction Glossary'!K$5:K$999))</f>
        <v>0</v>
      </c>
      <c r="N22" s="17" cm="1">
        <f t="array" ref="N22">SUMPRODUCT(('Transaction Glossary'!F$5:F$999=D22)*('Transaction Glossary'!E$5:E$999="Dividend")*('Transaction Glossary'!K$5:K$999))</f>
        <v>0</v>
      </c>
      <c r="P22" s="17">
        <f t="shared" si="0"/>
        <v>0</v>
      </c>
      <c r="Q22" s="33">
        <f t="shared" si="1"/>
        <v>0</v>
      </c>
      <c r="R22" t="str">
        <f t="shared" si="2"/>
        <v/>
      </c>
      <c r="S22" s="26" t="str" cm="1">
        <f t="array" aca="1" ref="S22" ca="1">IFERROR(INDIRECT(D22&amp;"!R4"),"")</f>
        <v/>
      </c>
      <c r="V22" s="26"/>
    </row>
    <row r="23" spans="12:22" x14ac:dyDescent="0.25">
      <c r="L23" s="33" cm="1">
        <f t="array" ref="L23">SUMPRODUCT(('Transaction Glossary'!F$5:F$999=D23)*('Transaction Glossary'!J$5:J$999))</f>
        <v>0</v>
      </c>
      <c r="M23" s="17" cm="1">
        <f t="array" ref="M23">SUMPRODUCT(('Transaction Glossary'!F$5:F$999=D23)*('Transaction Glossary'!K$5:K$999))</f>
        <v>0</v>
      </c>
      <c r="N23" s="17" cm="1">
        <f t="array" ref="N23">SUMPRODUCT(('Transaction Glossary'!F$5:F$999=D23)*('Transaction Glossary'!E$5:E$999="Dividend")*('Transaction Glossary'!K$5:K$999))</f>
        <v>0</v>
      </c>
      <c r="P23" s="17">
        <f t="shared" si="0"/>
        <v>0</v>
      </c>
      <c r="Q23" s="33">
        <f t="shared" si="1"/>
        <v>0</v>
      </c>
      <c r="R23" t="str">
        <f t="shared" si="2"/>
        <v/>
      </c>
      <c r="S23" s="26" t="str" cm="1">
        <f t="array" aca="1" ref="S23" ca="1">IFERROR(INDIRECT(D23&amp;"!R4"),"")</f>
        <v/>
      </c>
      <c r="V23" s="26"/>
    </row>
    <row r="24" spans="12:22" x14ac:dyDescent="0.25">
      <c r="L24" s="33" cm="1">
        <f t="array" ref="L24">SUMPRODUCT(('Transaction Glossary'!F$5:F$999=D24)*('Transaction Glossary'!J$5:J$999))</f>
        <v>0</v>
      </c>
      <c r="M24" s="17" cm="1">
        <f t="array" ref="M24">SUMPRODUCT(('Transaction Glossary'!F$5:F$999=D24)*('Transaction Glossary'!K$5:K$999))</f>
        <v>0</v>
      </c>
      <c r="N24" s="17" cm="1">
        <f t="array" ref="N24">SUMPRODUCT(('Transaction Glossary'!F$5:F$999=D24)*('Transaction Glossary'!E$5:E$999="Dividend")*('Transaction Glossary'!K$5:K$999))</f>
        <v>0</v>
      </c>
      <c r="P24" s="17">
        <f t="shared" si="0"/>
        <v>0</v>
      </c>
      <c r="Q24" s="33">
        <f t="shared" si="1"/>
        <v>0</v>
      </c>
      <c r="R24" t="str">
        <f t="shared" si="2"/>
        <v/>
      </c>
      <c r="S24" s="26" t="str" cm="1">
        <f t="array" aca="1" ref="S24" ca="1">IFERROR(INDIRECT(D24&amp;"!R4"),"")</f>
        <v/>
      </c>
      <c r="V24" s="26"/>
    </row>
    <row r="25" spans="12:22" x14ac:dyDescent="0.25">
      <c r="L25" s="33" cm="1">
        <f t="array" ref="L25">SUMPRODUCT(('Transaction Glossary'!F$5:F$999=D25)*('Transaction Glossary'!J$5:J$999))</f>
        <v>0</v>
      </c>
      <c r="M25" s="17" cm="1">
        <f t="array" ref="M25">SUMPRODUCT(('Transaction Glossary'!F$5:F$999=D25)*('Transaction Glossary'!K$5:K$999))</f>
        <v>0</v>
      </c>
      <c r="N25" s="17" cm="1">
        <f t="array" ref="N25">SUMPRODUCT(('Transaction Glossary'!F$5:F$999=D25)*('Transaction Glossary'!E$5:E$999="Dividend")*('Transaction Glossary'!K$5:K$999))</f>
        <v>0</v>
      </c>
      <c r="P25" s="17">
        <f t="shared" si="0"/>
        <v>0</v>
      </c>
      <c r="Q25" s="33">
        <f t="shared" si="1"/>
        <v>0</v>
      </c>
      <c r="R25" t="str">
        <f t="shared" si="2"/>
        <v/>
      </c>
      <c r="S25" s="26" t="str" cm="1">
        <f t="array" aca="1" ref="S25" ca="1">IFERROR(INDIRECT(D25&amp;"!R4"),"")</f>
        <v/>
      </c>
      <c r="V25" s="26"/>
    </row>
    <row r="26" spans="12:22" x14ac:dyDescent="0.25">
      <c r="L26" s="33" cm="1">
        <f t="array" ref="L26">SUMPRODUCT(('Transaction Glossary'!F$5:F$999=D26)*('Transaction Glossary'!J$5:J$999))</f>
        <v>0</v>
      </c>
      <c r="M26" s="17" cm="1">
        <f t="array" ref="M26">SUMPRODUCT(('Transaction Glossary'!F$5:F$999=D26)*('Transaction Glossary'!K$5:K$999))</f>
        <v>0</v>
      </c>
      <c r="N26" s="17" cm="1">
        <f t="array" ref="N26">SUMPRODUCT(('Transaction Glossary'!F$5:F$999=D26)*('Transaction Glossary'!E$5:E$999="Dividend")*('Transaction Glossary'!K$5:K$999))</f>
        <v>0</v>
      </c>
      <c r="P26" s="17">
        <f t="shared" si="0"/>
        <v>0</v>
      </c>
      <c r="Q26" s="33">
        <f t="shared" si="1"/>
        <v>0</v>
      </c>
      <c r="R26" t="str">
        <f t="shared" si="2"/>
        <v/>
      </c>
      <c r="S26" s="26" t="str" cm="1">
        <f t="array" aca="1" ref="S26" ca="1">IFERROR(INDIRECT(D26&amp;"!R4"),"")</f>
        <v/>
      </c>
      <c r="V26" s="26"/>
    </row>
    <row r="27" spans="12:22" x14ac:dyDescent="0.25">
      <c r="L27" s="33" cm="1">
        <f t="array" ref="L27">SUMPRODUCT(('Transaction Glossary'!F$5:F$999=D27)*('Transaction Glossary'!J$5:J$999))</f>
        <v>0</v>
      </c>
      <c r="M27" s="17" cm="1">
        <f t="array" ref="M27">SUMPRODUCT(('Transaction Glossary'!F$5:F$999=D27)*('Transaction Glossary'!K$5:K$999))</f>
        <v>0</v>
      </c>
      <c r="N27" s="17" cm="1">
        <f t="array" ref="N27">SUMPRODUCT(('Transaction Glossary'!F$5:F$999=D27)*('Transaction Glossary'!E$5:E$999="Dividend")*('Transaction Glossary'!K$5:K$999))</f>
        <v>0</v>
      </c>
      <c r="P27" s="17">
        <f t="shared" si="0"/>
        <v>0</v>
      </c>
      <c r="Q27" s="33">
        <f t="shared" si="1"/>
        <v>0</v>
      </c>
      <c r="R27" t="str">
        <f t="shared" si="2"/>
        <v/>
      </c>
      <c r="S27" s="26" t="str" cm="1">
        <f t="array" aca="1" ref="S27" ca="1">IFERROR(INDIRECT(D27&amp;"!R4"),"")</f>
        <v/>
      </c>
      <c r="V27" s="26"/>
    </row>
    <row r="28" spans="12:22" x14ac:dyDescent="0.25">
      <c r="L28" s="33" cm="1">
        <f t="array" ref="L28">SUMPRODUCT(('Transaction Glossary'!F$5:F$999=D28)*('Transaction Glossary'!J$5:J$999))</f>
        <v>0</v>
      </c>
      <c r="M28" s="17" cm="1">
        <f t="array" ref="M28">SUMPRODUCT(('Transaction Glossary'!F$5:F$999=D28)*('Transaction Glossary'!K$5:K$999))</f>
        <v>0</v>
      </c>
      <c r="N28" s="17" cm="1">
        <f t="array" ref="N28">SUMPRODUCT(('Transaction Glossary'!F$5:F$999=D28)*('Transaction Glossary'!E$5:E$999="Dividend")*('Transaction Glossary'!K$5:K$999))</f>
        <v>0</v>
      </c>
      <c r="P28" s="17">
        <f t="shared" si="0"/>
        <v>0</v>
      </c>
      <c r="Q28" s="33">
        <f t="shared" si="1"/>
        <v>0</v>
      </c>
      <c r="R28" t="str">
        <f t="shared" si="2"/>
        <v/>
      </c>
      <c r="S28" s="26" t="str" cm="1">
        <f t="array" aca="1" ref="S28" ca="1">IFERROR(INDIRECT(D28&amp;"!R4"),"")</f>
        <v/>
      </c>
      <c r="V28" s="26"/>
    </row>
    <row r="29" spans="12:22" x14ac:dyDescent="0.25">
      <c r="L29" s="33" cm="1">
        <f t="array" ref="L29">SUMPRODUCT(('Transaction Glossary'!F$5:F$999=D29)*('Transaction Glossary'!J$5:J$999))</f>
        <v>0</v>
      </c>
      <c r="M29" s="17" cm="1">
        <f t="array" ref="M29">SUMPRODUCT(('Transaction Glossary'!F$5:F$999=D29)*('Transaction Glossary'!K$5:K$999))</f>
        <v>0</v>
      </c>
      <c r="N29" s="17" cm="1">
        <f t="array" ref="N29">SUMPRODUCT(('Transaction Glossary'!F$5:F$999=D29)*('Transaction Glossary'!E$5:E$999="Dividend")*('Transaction Glossary'!K$5:K$999))</f>
        <v>0</v>
      </c>
      <c r="P29" s="17">
        <f t="shared" si="0"/>
        <v>0</v>
      </c>
      <c r="Q29" s="33">
        <f t="shared" si="1"/>
        <v>0</v>
      </c>
      <c r="R29" t="str">
        <f t="shared" si="2"/>
        <v/>
      </c>
      <c r="S29" s="26" t="str" cm="1">
        <f t="array" aca="1" ref="S29" ca="1">IFERROR(INDIRECT(D29&amp;"!R4"),"")</f>
        <v/>
      </c>
      <c r="V29" s="26"/>
    </row>
    <row r="30" spans="12:22" x14ac:dyDescent="0.25">
      <c r="L30" s="33" cm="1">
        <f t="array" ref="L30">SUMPRODUCT(('Transaction Glossary'!F$5:F$999=D30)*('Transaction Glossary'!J$5:J$999))</f>
        <v>0</v>
      </c>
      <c r="M30" s="17" cm="1">
        <f t="array" ref="M30">SUMPRODUCT(('Transaction Glossary'!F$5:F$999=D30)*('Transaction Glossary'!K$5:K$999))</f>
        <v>0</v>
      </c>
      <c r="N30" s="17" cm="1">
        <f t="array" ref="N30">SUMPRODUCT(('Transaction Glossary'!F$5:F$999=D30)*('Transaction Glossary'!E$5:E$999="Dividend")*('Transaction Glossary'!K$5:K$999))</f>
        <v>0</v>
      </c>
      <c r="P30" s="17">
        <f t="shared" si="0"/>
        <v>0</v>
      </c>
      <c r="Q30" s="33">
        <f t="shared" si="1"/>
        <v>0</v>
      </c>
      <c r="R30" t="str">
        <f t="shared" si="2"/>
        <v/>
      </c>
      <c r="S30" s="26" t="str" cm="1">
        <f t="array" aca="1" ref="S30" ca="1">IFERROR(INDIRECT(D30&amp;"!R4"),"")</f>
        <v/>
      </c>
      <c r="V30" s="26"/>
    </row>
    <row r="31" spans="12:22" x14ac:dyDescent="0.25">
      <c r="L31" s="33" cm="1">
        <f t="array" ref="L31">SUMPRODUCT(('Transaction Glossary'!F$5:F$999=D31)*('Transaction Glossary'!J$5:J$999))</f>
        <v>0</v>
      </c>
      <c r="M31" s="17" cm="1">
        <f t="array" ref="M31">SUMPRODUCT(('Transaction Glossary'!F$5:F$999=D31)*('Transaction Glossary'!K$5:K$999))</f>
        <v>0</v>
      </c>
      <c r="N31" s="17" cm="1">
        <f t="array" ref="N31">SUMPRODUCT(('Transaction Glossary'!F$5:F$999=D31)*('Transaction Glossary'!E$5:E$999="Dividend")*('Transaction Glossary'!K$5:K$999))</f>
        <v>0</v>
      </c>
      <c r="P31" s="17">
        <f t="shared" si="0"/>
        <v>0</v>
      </c>
      <c r="Q31" s="33">
        <f t="shared" si="1"/>
        <v>0</v>
      </c>
      <c r="R31" t="str">
        <f t="shared" si="2"/>
        <v/>
      </c>
      <c r="S31" s="26" t="str" cm="1">
        <f t="array" aca="1" ref="S31" ca="1">IFERROR(INDIRECT(D31&amp;"!R4"),"")</f>
        <v/>
      </c>
      <c r="V31" s="26"/>
    </row>
    <row r="32" spans="12:22" x14ac:dyDescent="0.25">
      <c r="L32" s="33" cm="1">
        <f t="array" ref="L32">SUMPRODUCT(('Transaction Glossary'!F$5:F$999=D32)*('Transaction Glossary'!J$5:J$999))</f>
        <v>0</v>
      </c>
      <c r="M32" s="17" cm="1">
        <f t="array" ref="M32">SUMPRODUCT(('Transaction Glossary'!F$5:F$999=D32)*('Transaction Glossary'!K$5:K$999))</f>
        <v>0</v>
      </c>
      <c r="N32" s="17" cm="1">
        <f t="array" ref="N32">SUMPRODUCT(('Transaction Glossary'!F$5:F$999=D32)*('Transaction Glossary'!E$5:E$999="Dividend")*('Transaction Glossary'!K$5:K$999))</f>
        <v>0</v>
      </c>
      <c r="P32" s="17">
        <f t="shared" si="0"/>
        <v>0</v>
      </c>
      <c r="Q32" s="33">
        <f t="shared" si="1"/>
        <v>0</v>
      </c>
      <c r="R32" t="str">
        <f t="shared" si="2"/>
        <v/>
      </c>
      <c r="S32" s="26" t="str" cm="1">
        <f t="array" aca="1" ref="S32" ca="1">IFERROR(INDIRECT(D32&amp;"!R4"),"")</f>
        <v/>
      </c>
      <c r="V32" s="26"/>
    </row>
    <row r="33" spans="12:22" x14ac:dyDescent="0.25">
      <c r="L33" s="33" cm="1">
        <f t="array" ref="L33">SUMPRODUCT(('Transaction Glossary'!F$5:F$999=D33)*('Transaction Glossary'!J$5:J$999))</f>
        <v>0</v>
      </c>
      <c r="M33" s="17" cm="1">
        <f t="array" ref="M33">SUMPRODUCT(('Transaction Glossary'!F$5:F$999=D33)*('Transaction Glossary'!K$5:K$999))</f>
        <v>0</v>
      </c>
      <c r="N33" s="17" cm="1">
        <f t="array" ref="N33">SUMPRODUCT(('Transaction Glossary'!F$5:F$999=D33)*('Transaction Glossary'!E$5:E$999="Dividend")*('Transaction Glossary'!K$5:K$999))</f>
        <v>0</v>
      </c>
      <c r="P33" s="17">
        <f t="shared" si="0"/>
        <v>0</v>
      </c>
      <c r="Q33" s="33">
        <f t="shared" si="1"/>
        <v>0</v>
      </c>
      <c r="R33" t="str">
        <f t="shared" si="2"/>
        <v/>
      </c>
      <c r="S33" s="26" t="str" cm="1">
        <f t="array" aca="1" ref="S33" ca="1">IFERROR(INDIRECT(D33&amp;"!R4"),"")</f>
        <v/>
      </c>
      <c r="V33" s="26"/>
    </row>
    <row r="34" spans="12:22" x14ac:dyDescent="0.25">
      <c r="L34" s="33" cm="1">
        <f t="array" ref="L34">SUMPRODUCT(('Transaction Glossary'!F$5:F$999=D34)*('Transaction Glossary'!J$5:J$999))</f>
        <v>0</v>
      </c>
      <c r="M34" s="17" cm="1">
        <f t="array" ref="M34">SUMPRODUCT(('Transaction Glossary'!F$5:F$999=D34)*('Transaction Glossary'!K$5:K$999))</f>
        <v>0</v>
      </c>
      <c r="N34" s="17" cm="1">
        <f t="array" ref="N34">SUMPRODUCT(('Transaction Glossary'!F$5:F$999=D34)*('Transaction Glossary'!E$5:E$999="Dividend")*('Transaction Glossary'!K$5:K$999))</f>
        <v>0</v>
      </c>
      <c r="P34" s="17">
        <f t="shared" si="0"/>
        <v>0</v>
      </c>
      <c r="Q34" s="33">
        <f t="shared" si="1"/>
        <v>0</v>
      </c>
      <c r="R34" t="str">
        <f t="shared" si="2"/>
        <v/>
      </c>
      <c r="S34" s="26" t="str" cm="1">
        <f t="array" aca="1" ref="S34" ca="1">IFERROR(INDIRECT(D34&amp;"!R4"),"")</f>
        <v/>
      </c>
      <c r="V34" s="26"/>
    </row>
    <row r="35" spans="12:22" x14ac:dyDescent="0.25">
      <c r="L35" s="33" cm="1">
        <f t="array" ref="L35">SUMPRODUCT(('Transaction Glossary'!F$5:F$999=D35)*('Transaction Glossary'!J$5:J$999))</f>
        <v>0</v>
      </c>
      <c r="M35" s="17" cm="1">
        <f t="array" ref="M35">SUMPRODUCT(('Transaction Glossary'!F$5:F$999=D35)*('Transaction Glossary'!K$5:K$999))</f>
        <v>0</v>
      </c>
      <c r="N35" s="17" cm="1">
        <f t="array" ref="N35">SUMPRODUCT(('Transaction Glossary'!F$5:F$999=D35)*('Transaction Glossary'!E$5:E$999="Dividend")*('Transaction Glossary'!K$5:K$999))</f>
        <v>0</v>
      </c>
      <c r="P35" s="17">
        <f t="shared" si="0"/>
        <v>0</v>
      </c>
      <c r="Q35" s="33">
        <f t="shared" si="1"/>
        <v>0</v>
      </c>
      <c r="R35" t="str">
        <f t="shared" si="2"/>
        <v/>
      </c>
      <c r="S35" s="26" t="str" cm="1">
        <f t="array" aca="1" ref="S35" ca="1">IFERROR(INDIRECT(D35&amp;"!R4"),"")</f>
        <v/>
      </c>
      <c r="V35" s="26"/>
    </row>
    <row r="36" spans="12:22" x14ac:dyDescent="0.25">
      <c r="L36" s="33" cm="1">
        <f t="array" ref="L36">SUMPRODUCT(('Transaction Glossary'!F$5:F$999=D36)*('Transaction Glossary'!J$5:J$999))</f>
        <v>0</v>
      </c>
      <c r="M36" s="17" cm="1">
        <f t="array" ref="M36">SUMPRODUCT(('Transaction Glossary'!F$5:F$999=D36)*('Transaction Glossary'!K$5:K$999))</f>
        <v>0</v>
      </c>
      <c r="N36" s="17" cm="1">
        <f t="array" ref="N36">SUMPRODUCT(('Transaction Glossary'!F$5:F$999=D36)*('Transaction Glossary'!E$5:E$999="Dividend")*('Transaction Glossary'!K$5:K$999))</f>
        <v>0</v>
      </c>
      <c r="P36" s="17">
        <f t="shared" si="0"/>
        <v>0</v>
      </c>
      <c r="Q36" s="33">
        <f t="shared" si="1"/>
        <v>0</v>
      </c>
      <c r="R36" t="str">
        <f t="shared" si="2"/>
        <v/>
      </c>
      <c r="S36" s="26" t="str" cm="1">
        <f t="array" aca="1" ref="S36" ca="1">IFERROR(INDIRECT(D36&amp;"!R4"),"")</f>
        <v/>
      </c>
      <c r="V36" s="26"/>
    </row>
    <row r="37" spans="12:22" x14ac:dyDescent="0.25">
      <c r="L37" s="33" cm="1">
        <f t="array" ref="L37">SUMPRODUCT(('Transaction Glossary'!F$5:F$999=D37)*('Transaction Glossary'!J$5:J$999))</f>
        <v>0</v>
      </c>
      <c r="M37" s="17" cm="1">
        <f t="array" ref="M37">SUMPRODUCT(('Transaction Glossary'!F$5:F$999=D37)*('Transaction Glossary'!K$5:K$999))</f>
        <v>0</v>
      </c>
      <c r="N37" s="17" cm="1">
        <f t="array" ref="N37">SUMPRODUCT(('Transaction Glossary'!F$5:F$999=D37)*('Transaction Glossary'!E$5:E$999="Dividend")*('Transaction Glossary'!K$5:K$999))</f>
        <v>0</v>
      </c>
      <c r="P37" s="17">
        <f t="shared" si="0"/>
        <v>0</v>
      </c>
      <c r="Q37" s="33">
        <f t="shared" si="1"/>
        <v>0</v>
      </c>
      <c r="R37" t="str">
        <f t="shared" si="2"/>
        <v/>
      </c>
      <c r="S37" s="26" t="str" cm="1">
        <f t="array" aca="1" ref="S37" ca="1">IFERROR(INDIRECT(D37&amp;"!R4"),"")</f>
        <v/>
      </c>
      <c r="V37" s="26"/>
    </row>
    <row r="38" spans="12:22" x14ac:dyDescent="0.25">
      <c r="L38" s="33" cm="1">
        <f t="array" ref="L38">SUMPRODUCT(('Transaction Glossary'!F$5:F$999=D38)*('Transaction Glossary'!J$5:J$999))</f>
        <v>0</v>
      </c>
      <c r="M38" s="17" cm="1">
        <f t="array" ref="M38">SUMPRODUCT(('Transaction Glossary'!F$5:F$999=D38)*('Transaction Glossary'!K$5:K$999))</f>
        <v>0</v>
      </c>
      <c r="N38" s="17" cm="1">
        <f t="array" ref="N38">SUMPRODUCT(('Transaction Glossary'!F$5:F$999=D38)*('Transaction Glossary'!E$5:E$999="Dividend")*('Transaction Glossary'!K$5:K$999))</f>
        <v>0</v>
      </c>
      <c r="P38" s="17">
        <f t="shared" si="0"/>
        <v>0</v>
      </c>
      <c r="Q38" s="33">
        <f t="shared" si="1"/>
        <v>0</v>
      </c>
      <c r="R38" t="str">
        <f t="shared" si="2"/>
        <v/>
      </c>
      <c r="S38" s="26" t="str" cm="1">
        <f t="array" aca="1" ref="S38" ca="1">IFERROR(INDIRECT(D38&amp;"!R4"),"")</f>
        <v/>
      </c>
      <c r="V38" s="26"/>
    </row>
    <row r="39" spans="12:22" x14ac:dyDescent="0.25">
      <c r="L39" s="33" cm="1">
        <f t="array" ref="L39">SUMPRODUCT(('Transaction Glossary'!F$5:F$999=D39)*('Transaction Glossary'!J$5:J$999))</f>
        <v>0</v>
      </c>
      <c r="M39" s="17" cm="1">
        <f t="array" ref="M39">SUMPRODUCT(('Transaction Glossary'!F$5:F$999=D39)*('Transaction Glossary'!K$5:K$999))</f>
        <v>0</v>
      </c>
      <c r="N39" s="17" cm="1">
        <f t="array" ref="N39">SUMPRODUCT(('Transaction Glossary'!F$5:F$999=D39)*('Transaction Glossary'!E$5:E$999="Dividend")*('Transaction Glossary'!K$5:K$999))</f>
        <v>0</v>
      </c>
      <c r="P39" s="17">
        <f t="shared" si="0"/>
        <v>0</v>
      </c>
      <c r="Q39" s="33">
        <f t="shared" si="1"/>
        <v>0</v>
      </c>
      <c r="R39" t="str">
        <f t="shared" si="2"/>
        <v/>
      </c>
      <c r="S39" s="26" t="str" cm="1">
        <f t="array" aca="1" ref="S39" ca="1">IFERROR(INDIRECT(D39&amp;"!R4"),"")</f>
        <v/>
      </c>
      <c r="V39" s="26"/>
    </row>
    <row r="40" spans="12:22" x14ac:dyDescent="0.25">
      <c r="L40" s="33" cm="1">
        <f t="array" ref="L40">SUMPRODUCT(('Transaction Glossary'!F$5:F$999=D40)*('Transaction Glossary'!J$5:J$999))</f>
        <v>0</v>
      </c>
      <c r="M40" s="17" cm="1">
        <f t="array" ref="M40">SUMPRODUCT(('Transaction Glossary'!F$5:F$999=D40)*('Transaction Glossary'!K$5:K$999))</f>
        <v>0</v>
      </c>
      <c r="N40" s="17" cm="1">
        <f t="array" ref="N40">SUMPRODUCT(('Transaction Glossary'!F$5:F$999=D40)*('Transaction Glossary'!E$5:E$999="Dividend")*('Transaction Glossary'!K$5:K$999))</f>
        <v>0</v>
      </c>
      <c r="P40" s="17">
        <f t="shared" si="0"/>
        <v>0</v>
      </c>
      <c r="Q40" s="33">
        <f t="shared" si="1"/>
        <v>0</v>
      </c>
      <c r="R40" t="str">
        <f t="shared" si="2"/>
        <v/>
      </c>
      <c r="S40" s="26" t="str" cm="1">
        <f t="array" aca="1" ref="S40" ca="1">IFERROR(INDIRECT(D40&amp;"!R4"),"")</f>
        <v/>
      </c>
      <c r="V40" s="26"/>
    </row>
    <row r="41" spans="12:22" x14ac:dyDescent="0.25">
      <c r="L41" s="33" cm="1">
        <f t="array" ref="L41">SUMPRODUCT(('Transaction Glossary'!F$5:F$999=D41)*('Transaction Glossary'!J$5:J$999))</f>
        <v>0</v>
      </c>
      <c r="M41" s="17" cm="1">
        <f t="array" ref="M41">SUMPRODUCT(('Transaction Glossary'!F$5:F$999=D41)*('Transaction Glossary'!K$5:K$999))</f>
        <v>0</v>
      </c>
      <c r="N41" s="17" cm="1">
        <f t="array" ref="N41">SUMPRODUCT(('Transaction Glossary'!F$5:F$999=D41)*('Transaction Glossary'!E$5:E$999="Dividend")*('Transaction Glossary'!K$5:K$999))</f>
        <v>0</v>
      </c>
      <c r="P41" s="17">
        <f t="shared" si="0"/>
        <v>0</v>
      </c>
      <c r="Q41" s="33">
        <f t="shared" si="1"/>
        <v>0</v>
      </c>
      <c r="R41" t="str">
        <f t="shared" si="2"/>
        <v/>
      </c>
      <c r="S41" s="26" t="str" cm="1">
        <f t="array" aca="1" ref="S41" ca="1">IFERROR(INDIRECT(D41&amp;"!R4"),"")</f>
        <v/>
      </c>
      <c r="V41" s="26"/>
    </row>
    <row r="42" spans="12:22" x14ac:dyDescent="0.25">
      <c r="L42" s="33" cm="1">
        <f t="array" ref="L42">SUMPRODUCT(('Transaction Glossary'!F$5:F$999=D42)*('Transaction Glossary'!J$5:J$999))</f>
        <v>0</v>
      </c>
      <c r="M42" s="17" cm="1">
        <f t="array" ref="M42">SUMPRODUCT(('Transaction Glossary'!F$5:F$999=D42)*('Transaction Glossary'!K$5:K$999))</f>
        <v>0</v>
      </c>
      <c r="N42" s="17" cm="1">
        <f t="array" ref="N42">SUMPRODUCT(('Transaction Glossary'!F$5:F$999=D42)*('Transaction Glossary'!E$5:E$999="Dividend")*('Transaction Glossary'!K$5:K$999))</f>
        <v>0</v>
      </c>
      <c r="P42" s="17">
        <f t="shared" si="0"/>
        <v>0</v>
      </c>
      <c r="Q42" s="33">
        <f t="shared" si="1"/>
        <v>0</v>
      </c>
      <c r="R42" t="str">
        <f t="shared" si="2"/>
        <v/>
      </c>
      <c r="S42" s="26" t="str" cm="1">
        <f t="array" aca="1" ref="S42" ca="1">IFERROR(INDIRECT(D42&amp;"!R4"),"")</f>
        <v/>
      </c>
      <c r="V42" s="26"/>
    </row>
    <row r="43" spans="12:22" x14ac:dyDescent="0.25">
      <c r="L43" s="33" cm="1">
        <f t="array" ref="L43">SUMPRODUCT(('Transaction Glossary'!F$5:F$999=D43)*('Transaction Glossary'!J$5:J$999))</f>
        <v>0</v>
      </c>
      <c r="M43" s="17" cm="1">
        <f t="array" ref="M43">SUMPRODUCT(('Transaction Glossary'!F$5:F$999=D43)*('Transaction Glossary'!K$5:K$999))</f>
        <v>0</v>
      </c>
      <c r="N43" s="17" cm="1">
        <f t="array" ref="N43">SUMPRODUCT(('Transaction Glossary'!F$5:F$999=D43)*('Transaction Glossary'!E$5:E$999="Dividend")*('Transaction Glossary'!K$5:K$999))</f>
        <v>0</v>
      </c>
      <c r="P43" s="17">
        <f t="shared" si="0"/>
        <v>0</v>
      </c>
      <c r="Q43" s="33">
        <f t="shared" si="1"/>
        <v>0</v>
      </c>
      <c r="R43" t="str">
        <f t="shared" si="2"/>
        <v/>
      </c>
      <c r="S43" s="26" t="str" cm="1">
        <f t="array" aca="1" ref="S43" ca="1">IFERROR(INDIRECT(D43&amp;"!R4"),"")</f>
        <v/>
      </c>
      <c r="V43" s="26"/>
    </row>
    <row r="44" spans="12:22" x14ac:dyDescent="0.25">
      <c r="L44" s="33" cm="1">
        <f t="array" ref="L44">SUMPRODUCT(('Transaction Glossary'!F$5:F$999=D44)*('Transaction Glossary'!J$5:J$999))</f>
        <v>0</v>
      </c>
      <c r="M44" s="17" cm="1">
        <f t="array" ref="M44">SUMPRODUCT(('Transaction Glossary'!F$5:F$999=D44)*('Transaction Glossary'!K$5:K$999))</f>
        <v>0</v>
      </c>
      <c r="N44" s="17" cm="1">
        <f t="array" ref="N44">SUMPRODUCT(('Transaction Glossary'!F$5:F$999=D44)*('Transaction Glossary'!E$5:E$999="Dividend")*('Transaction Glossary'!K$5:K$999))</f>
        <v>0</v>
      </c>
      <c r="P44" s="17">
        <f t="shared" si="0"/>
        <v>0</v>
      </c>
      <c r="Q44" s="33">
        <f t="shared" si="1"/>
        <v>0</v>
      </c>
      <c r="R44" t="str">
        <f t="shared" si="2"/>
        <v/>
      </c>
      <c r="S44" s="26" t="str" cm="1">
        <f t="array" aca="1" ref="S44" ca="1">IFERROR(INDIRECT(D44&amp;"!R4"),"")</f>
        <v/>
      </c>
      <c r="V44" s="26"/>
    </row>
    <row r="45" spans="12:22" x14ac:dyDescent="0.25">
      <c r="L45" s="33" cm="1">
        <f t="array" ref="L45">SUMPRODUCT(('Transaction Glossary'!F$5:F$999=D45)*('Transaction Glossary'!J$5:J$999))</f>
        <v>0</v>
      </c>
      <c r="M45" s="17" cm="1">
        <f t="array" ref="M45">SUMPRODUCT(('Transaction Glossary'!F$5:F$999=D45)*('Transaction Glossary'!K$5:K$999))</f>
        <v>0</v>
      </c>
      <c r="N45" s="17" cm="1">
        <f t="array" ref="N45">SUMPRODUCT(('Transaction Glossary'!F$5:F$999=D45)*('Transaction Glossary'!E$5:E$999="Dividend")*('Transaction Glossary'!K$5:K$999))</f>
        <v>0</v>
      </c>
      <c r="P45" s="17">
        <f t="shared" si="0"/>
        <v>0</v>
      </c>
      <c r="Q45" s="33">
        <f t="shared" si="1"/>
        <v>0</v>
      </c>
      <c r="R45" t="str">
        <f t="shared" si="2"/>
        <v/>
      </c>
      <c r="S45" s="26" t="str" cm="1">
        <f t="array" aca="1" ref="S45" ca="1">IFERROR(INDIRECT(D45&amp;"!R4"),"")</f>
        <v/>
      </c>
      <c r="V45" s="26"/>
    </row>
    <row r="46" spans="12:22" x14ac:dyDescent="0.25">
      <c r="L46" s="33" cm="1">
        <f t="array" ref="L46">SUMPRODUCT(('Transaction Glossary'!F$5:F$999=D46)*('Transaction Glossary'!J$5:J$999))</f>
        <v>0</v>
      </c>
      <c r="M46" s="17" cm="1">
        <f t="array" ref="M46">SUMPRODUCT(('Transaction Glossary'!F$5:F$999=D46)*('Transaction Glossary'!K$5:K$999))</f>
        <v>0</v>
      </c>
      <c r="N46" s="17" cm="1">
        <f t="array" ref="N46">SUMPRODUCT(('Transaction Glossary'!F$5:F$999=D46)*('Transaction Glossary'!E$5:E$999="Dividend")*('Transaction Glossary'!K$5:K$999))</f>
        <v>0</v>
      </c>
      <c r="P46" s="17">
        <f t="shared" si="0"/>
        <v>0</v>
      </c>
      <c r="Q46" s="33">
        <f t="shared" si="1"/>
        <v>0</v>
      </c>
      <c r="R46" t="str">
        <f t="shared" si="2"/>
        <v/>
      </c>
      <c r="S46" s="26" t="str" cm="1">
        <f t="array" aca="1" ref="S46" ca="1">IFERROR(INDIRECT(D46&amp;"!R4"),"")</f>
        <v/>
      </c>
      <c r="V46" s="26"/>
    </row>
    <row r="47" spans="12:22" x14ac:dyDescent="0.25">
      <c r="L47" s="33" cm="1">
        <f t="array" ref="L47">SUMPRODUCT(('Transaction Glossary'!F$5:F$999=D47)*('Transaction Glossary'!J$5:J$999))</f>
        <v>0</v>
      </c>
      <c r="M47" s="17" cm="1">
        <f t="array" ref="M47">SUMPRODUCT(('Transaction Glossary'!F$5:F$999=D47)*('Transaction Glossary'!K$5:K$999))</f>
        <v>0</v>
      </c>
      <c r="N47" s="17" cm="1">
        <f t="array" ref="N47">SUMPRODUCT(('Transaction Glossary'!F$5:F$999=D47)*('Transaction Glossary'!E$5:E$999="Dividend")*('Transaction Glossary'!K$5:K$999))</f>
        <v>0</v>
      </c>
      <c r="P47" s="17">
        <f t="shared" si="0"/>
        <v>0</v>
      </c>
      <c r="Q47" s="33">
        <f t="shared" si="1"/>
        <v>0</v>
      </c>
      <c r="R47" t="str">
        <f t="shared" si="2"/>
        <v/>
      </c>
      <c r="S47" s="26" t="str" cm="1">
        <f t="array" aca="1" ref="S47" ca="1">IFERROR(INDIRECT(D47&amp;"!R4"),"")</f>
        <v/>
      </c>
      <c r="V47" s="26"/>
    </row>
    <row r="48" spans="12:22" x14ac:dyDescent="0.25">
      <c r="L48" s="33" cm="1">
        <f t="array" ref="L48">SUMPRODUCT(('Transaction Glossary'!F$5:F$999=D48)*('Transaction Glossary'!J$5:J$999))</f>
        <v>0</v>
      </c>
      <c r="M48" s="17" cm="1">
        <f t="array" ref="M48">SUMPRODUCT(('Transaction Glossary'!F$5:F$999=D48)*('Transaction Glossary'!K$5:K$999))</f>
        <v>0</v>
      </c>
      <c r="N48" s="17" cm="1">
        <f t="array" ref="N48">SUMPRODUCT(('Transaction Glossary'!F$5:F$999=D48)*('Transaction Glossary'!E$5:E$999="Dividend")*('Transaction Glossary'!K$5:K$999))</f>
        <v>0</v>
      </c>
      <c r="P48" s="17">
        <f t="shared" si="0"/>
        <v>0</v>
      </c>
      <c r="Q48" s="33">
        <f t="shared" si="1"/>
        <v>0</v>
      </c>
      <c r="R48" t="str">
        <f t="shared" si="2"/>
        <v/>
      </c>
      <c r="S48" s="26" t="str" cm="1">
        <f t="array" aca="1" ref="S48" ca="1">IFERROR(INDIRECT(D48&amp;"!R4"),"")</f>
        <v/>
      </c>
      <c r="V48" s="26"/>
    </row>
    <row r="49" spans="12:22" x14ac:dyDescent="0.25">
      <c r="L49" s="33" cm="1">
        <f t="array" ref="L49">SUMPRODUCT(('Transaction Glossary'!F$5:F$999=D49)*('Transaction Glossary'!J$5:J$999))</f>
        <v>0</v>
      </c>
      <c r="M49" s="17" cm="1">
        <f t="array" ref="M49">SUMPRODUCT(('Transaction Glossary'!F$5:F$999=D49)*('Transaction Glossary'!K$5:K$999))</f>
        <v>0</v>
      </c>
      <c r="N49" s="17" cm="1">
        <f t="array" ref="N49">SUMPRODUCT(('Transaction Glossary'!F$5:F$999=D49)*('Transaction Glossary'!E$5:E$999="Dividend")*('Transaction Glossary'!K$5:K$999))</f>
        <v>0</v>
      </c>
      <c r="P49" s="17">
        <f t="shared" si="0"/>
        <v>0</v>
      </c>
      <c r="Q49" s="33">
        <f t="shared" si="1"/>
        <v>0</v>
      </c>
      <c r="R49" t="str">
        <f t="shared" si="2"/>
        <v/>
      </c>
      <c r="S49" s="26" t="str" cm="1">
        <f t="array" aca="1" ref="S49" ca="1">IFERROR(INDIRECT(D49&amp;"!R4"),"")</f>
        <v/>
      </c>
      <c r="V49" s="26"/>
    </row>
    <row r="50" spans="12:22" x14ac:dyDescent="0.25">
      <c r="L50" s="33" cm="1">
        <f t="array" ref="L50">SUMPRODUCT(('Transaction Glossary'!F$5:F$999=D50)*('Transaction Glossary'!J$5:J$999))</f>
        <v>0</v>
      </c>
      <c r="M50" s="17" cm="1">
        <f t="array" ref="M50">SUMPRODUCT(('Transaction Glossary'!F$5:F$999=D50)*('Transaction Glossary'!K$5:K$999))</f>
        <v>0</v>
      </c>
      <c r="N50" s="17" cm="1">
        <f t="array" ref="N50">SUMPRODUCT(('Transaction Glossary'!F$5:F$999=D50)*('Transaction Glossary'!E$5:E$999="Dividend")*('Transaction Glossary'!K$5:K$999))</f>
        <v>0</v>
      </c>
      <c r="P50" s="17">
        <f t="shared" si="0"/>
        <v>0</v>
      </c>
      <c r="Q50" s="33">
        <f t="shared" si="1"/>
        <v>0</v>
      </c>
      <c r="R50" t="str">
        <f t="shared" si="2"/>
        <v/>
      </c>
      <c r="S50" s="26" t="str" cm="1">
        <f t="array" aca="1" ref="S50" ca="1">IFERROR(INDIRECT(D50&amp;"!R4"),"")</f>
        <v/>
      </c>
      <c r="V50" s="26"/>
    </row>
    <row r="51" spans="12:22" x14ac:dyDescent="0.25">
      <c r="L51" s="33" cm="1">
        <f t="array" ref="L51">SUMPRODUCT(('Transaction Glossary'!F$5:F$999=D51)*('Transaction Glossary'!J$5:J$999))</f>
        <v>0</v>
      </c>
      <c r="M51" s="17" cm="1">
        <f t="array" ref="M51">SUMPRODUCT(('Transaction Glossary'!F$5:F$999=D51)*('Transaction Glossary'!K$5:K$999))</f>
        <v>0</v>
      </c>
      <c r="N51" s="17" cm="1">
        <f t="array" ref="N51">SUMPRODUCT(('Transaction Glossary'!F$5:F$999=D51)*('Transaction Glossary'!E$5:E$999="Dividend")*('Transaction Glossary'!K$5:K$999))</f>
        <v>0</v>
      </c>
      <c r="P51" s="17">
        <f t="shared" si="0"/>
        <v>0</v>
      </c>
      <c r="Q51" s="33">
        <f t="shared" si="1"/>
        <v>0</v>
      </c>
      <c r="R51" t="str">
        <f t="shared" si="2"/>
        <v/>
      </c>
      <c r="S51" s="26" t="str" cm="1">
        <f t="array" aca="1" ref="S51" ca="1">IFERROR(INDIRECT(D51&amp;"!R4"),"")</f>
        <v/>
      </c>
      <c r="V51" s="26"/>
    </row>
    <row r="52" spans="12:22" x14ac:dyDescent="0.25">
      <c r="L52" s="33" cm="1">
        <f t="array" ref="L52">SUMPRODUCT(('Transaction Glossary'!F$5:F$999=D52)*('Transaction Glossary'!J$5:J$999))</f>
        <v>0</v>
      </c>
      <c r="M52" s="17" cm="1">
        <f t="array" ref="M52">SUMPRODUCT(('Transaction Glossary'!F$5:F$999=D52)*('Transaction Glossary'!K$5:K$999))</f>
        <v>0</v>
      </c>
      <c r="N52" s="17" cm="1">
        <f t="array" ref="N52">SUMPRODUCT(('Transaction Glossary'!F$5:F$999=D52)*('Transaction Glossary'!E$5:E$999="Dividend")*('Transaction Glossary'!K$5:K$999))</f>
        <v>0</v>
      </c>
      <c r="P52" s="17">
        <f t="shared" si="0"/>
        <v>0</v>
      </c>
      <c r="Q52" s="33">
        <f t="shared" si="1"/>
        <v>0</v>
      </c>
      <c r="R52" t="str">
        <f t="shared" si="2"/>
        <v/>
      </c>
      <c r="S52" s="26" t="str" cm="1">
        <f t="array" aca="1" ref="S52" ca="1">IFERROR(INDIRECT(D52&amp;"!R4"),"")</f>
        <v/>
      </c>
      <c r="V52" s="26"/>
    </row>
    <row r="53" spans="12:22" x14ac:dyDescent="0.25">
      <c r="L53" s="33" cm="1">
        <f t="array" ref="L53">SUMPRODUCT(('Transaction Glossary'!F$5:F$999=D53)*('Transaction Glossary'!J$5:J$999))</f>
        <v>0</v>
      </c>
      <c r="M53" s="17" cm="1">
        <f t="array" ref="M53">SUMPRODUCT(('Transaction Glossary'!F$5:F$999=D53)*('Transaction Glossary'!K$5:K$999))</f>
        <v>0</v>
      </c>
      <c r="N53" s="17" cm="1">
        <f t="array" ref="N53">SUMPRODUCT(('Transaction Glossary'!F$5:F$999=D53)*('Transaction Glossary'!E$5:E$999="Dividend")*('Transaction Glossary'!K$5:K$999))</f>
        <v>0</v>
      </c>
      <c r="P53" s="17">
        <f t="shared" si="0"/>
        <v>0</v>
      </c>
      <c r="Q53" s="33">
        <f t="shared" si="1"/>
        <v>0</v>
      </c>
      <c r="R53" t="str">
        <f t="shared" si="2"/>
        <v/>
      </c>
      <c r="S53" s="26" t="str" cm="1">
        <f t="array" aca="1" ref="S53" ca="1">IFERROR(INDIRECT(D53&amp;"!R4"),"")</f>
        <v/>
      </c>
      <c r="V53" s="26"/>
    </row>
    <row r="54" spans="12:22" x14ac:dyDescent="0.25">
      <c r="L54" s="33" cm="1">
        <f t="array" ref="L54">SUMPRODUCT(('Transaction Glossary'!F$5:F$999=D54)*('Transaction Glossary'!J$5:J$999))</f>
        <v>0</v>
      </c>
      <c r="M54" s="17" cm="1">
        <f t="array" ref="M54">SUMPRODUCT(('Transaction Glossary'!F$5:F$999=D54)*('Transaction Glossary'!K$5:K$999))</f>
        <v>0</v>
      </c>
      <c r="N54" s="17" cm="1">
        <f t="array" ref="N54">SUMPRODUCT(('Transaction Glossary'!F$5:F$999=D54)*('Transaction Glossary'!E$5:E$999="Dividend")*('Transaction Glossary'!K$5:K$999))</f>
        <v>0</v>
      </c>
      <c r="P54" s="17">
        <f t="shared" si="0"/>
        <v>0</v>
      </c>
      <c r="Q54" s="33">
        <f t="shared" si="1"/>
        <v>0</v>
      </c>
      <c r="R54" t="str">
        <f t="shared" si="2"/>
        <v/>
      </c>
      <c r="S54" s="26" t="str" cm="1">
        <f t="array" aca="1" ref="S54" ca="1">IFERROR(INDIRECT(D54&amp;"!R4"),"")</f>
        <v/>
      </c>
      <c r="V54" s="26"/>
    </row>
    <row r="55" spans="12:22" x14ac:dyDescent="0.25">
      <c r="L55" s="33" cm="1">
        <f t="array" ref="L55">SUMPRODUCT(('Transaction Glossary'!F$5:F$999=D55)*('Transaction Glossary'!J$5:J$999))</f>
        <v>0</v>
      </c>
      <c r="M55" s="17" cm="1">
        <f t="array" ref="M55">SUMPRODUCT(('Transaction Glossary'!F$5:F$999=D55)*('Transaction Glossary'!K$5:K$999))</f>
        <v>0</v>
      </c>
      <c r="N55" s="17" cm="1">
        <f t="array" ref="N55">SUMPRODUCT(('Transaction Glossary'!F$5:F$999=D55)*('Transaction Glossary'!E$5:E$999="Dividend")*('Transaction Glossary'!K$5:K$999))</f>
        <v>0</v>
      </c>
      <c r="P55" s="17">
        <f t="shared" si="0"/>
        <v>0</v>
      </c>
      <c r="Q55" s="33">
        <f t="shared" si="1"/>
        <v>0</v>
      </c>
      <c r="R55" t="str">
        <f t="shared" si="2"/>
        <v/>
      </c>
      <c r="S55" s="26" t="str" cm="1">
        <f t="array" aca="1" ref="S55" ca="1">IFERROR(INDIRECT(D55&amp;"!R4"),"")</f>
        <v/>
      </c>
      <c r="V55" s="26"/>
    </row>
    <row r="56" spans="12:22" x14ac:dyDescent="0.25">
      <c r="L56" s="33" cm="1">
        <f t="array" ref="L56">SUMPRODUCT(('Transaction Glossary'!F$5:F$999=D56)*('Transaction Glossary'!J$5:J$999))</f>
        <v>0</v>
      </c>
      <c r="M56" s="17" cm="1">
        <f t="array" ref="M56">SUMPRODUCT(('Transaction Glossary'!F$5:F$999=D56)*('Transaction Glossary'!K$5:K$999))</f>
        <v>0</v>
      </c>
      <c r="N56" s="17" cm="1">
        <f t="array" ref="N56">SUMPRODUCT(('Transaction Glossary'!F$5:F$999=D56)*('Transaction Glossary'!E$5:E$999="Dividend")*('Transaction Glossary'!K$5:K$999))</f>
        <v>0</v>
      </c>
      <c r="P56" s="17">
        <f t="shared" si="0"/>
        <v>0</v>
      </c>
      <c r="Q56" s="33">
        <f t="shared" si="1"/>
        <v>0</v>
      </c>
      <c r="R56" t="str">
        <f t="shared" si="2"/>
        <v/>
      </c>
      <c r="S56" s="26" t="str" cm="1">
        <f t="array" aca="1" ref="S56" ca="1">IFERROR(INDIRECT(D56&amp;"!R4"),"")</f>
        <v/>
      </c>
      <c r="V56" s="26"/>
    </row>
    <row r="57" spans="12:22" x14ac:dyDescent="0.25">
      <c r="L57" s="33" cm="1">
        <f t="array" ref="L57">SUMPRODUCT(('Transaction Glossary'!F$5:F$999=D57)*('Transaction Glossary'!J$5:J$999))</f>
        <v>0</v>
      </c>
      <c r="M57" s="17" cm="1">
        <f t="array" ref="M57">SUMPRODUCT(('Transaction Glossary'!F$5:F$999=D57)*('Transaction Glossary'!K$5:K$999))</f>
        <v>0</v>
      </c>
      <c r="N57" s="17" cm="1">
        <f t="array" ref="N57">SUMPRODUCT(('Transaction Glossary'!F$5:F$999=D57)*('Transaction Glossary'!E$5:E$999="Dividend")*('Transaction Glossary'!K$5:K$999))</f>
        <v>0</v>
      </c>
      <c r="P57" s="17">
        <f t="shared" si="0"/>
        <v>0</v>
      </c>
      <c r="Q57" s="33">
        <f t="shared" si="1"/>
        <v>0</v>
      </c>
      <c r="R57" t="str">
        <f t="shared" si="2"/>
        <v/>
      </c>
      <c r="S57" s="26" t="str" cm="1">
        <f t="array" aca="1" ref="S57" ca="1">IFERROR(INDIRECT(D57&amp;"!R4"),"")</f>
        <v/>
      </c>
      <c r="V57" s="26"/>
    </row>
    <row r="58" spans="12:22" x14ac:dyDescent="0.25">
      <c r="L58" s="33" cm="1">
        <f t="array" ref="L58">SUMPRODUCT(('Transaction Glossary'!F$5:F$999=D58)*('Transaction Glossary'!J$5:J$999))</f>
        <v>0</v>
      </c>
      <c r="M58" s="17" cm="1">
        <f t="array" ref="M58">SUMPRODUCT(('Transaction Glossary'!F$5:F$999=D58)*('Transaction Glossary'!K$5:K$999))</f>
        <v>0</v>
      </c>
      <c r="N58" s="17" cm="1">
        <f t="array" ref="N58">SUMPRODUCT(('Transaction Glossary'!F$5:F$999=D58)*('Transaction Glossary'!E$5:E$999="Dividend")*('Transaction Glossary'!K$5:K$999))</f>
        <v>0</v>
      </c>
      <c r="P58" s="17">
        <f t="shared" si="0"/>
        <v>0</v>
      </c>
      <c r="Q58" s="33">
        <f t="shared" si="1"/>
        <v>0</v>
      </c>
      <c r="R58" t="str">
        <f t="shared" si="2"/>
        <v/>
      </c>
      <c r="S58" s="26" t="str" cm="1">
        <f t="array" aca="1" ref="S58" ca="1">IFERROR(INDIRECT(D58&amp;"!R4"),"")</f>
        <v/>
      </c>
      <c r="V58" s="26"/>
    </row>
    <row r="59" spans="12:22" x14ac:dyDescent="0.25">
      <c r="L59" s="33" cm="1">
        <f t="array" ref="L59">SUMPRODUCT(('Transaction Glossary'!F$5:F$999=D59)*('Transaction Glossary'!J$5:J$999))</f>
        <v>0</v>
      </c>
      <c r="M59" s="17" cm="1">
        <f t="array" ref="M59">SUMPRODUCT(('Transaction Glossary'!F$5:F$999=D59)*('Transaction Glossary'!K$5:K$999))</f>
        <v>0</v>
      </c>
      <c r="N59" s="17" cm="1">
        <f t="array" ref="N59">SUMPRODUCT(('Transaction Glossary'!F$5:F$999=D59)*('Transaction Glossary'!E$5:E$999="Dividend")*('Transaction Glossary'!K$5:K$999))</f>
        <v>0</v>
      </c>
      <c r="P59" s="17">
        <f t="shared" si="0"/>
        <v>0</v>
      </c>
      <c r="Q59" s="33">
        <f t="shared" si="1"/>
        <v>0</v>
      </c>
      <c r="R59" t="str">
        <f t="shared" si="2"/>
        <v/>
      </c>
      <c r="S59" s="26" t="str" cm="1">
        <f t="array" aca="1" ref="S59" ca="1">IFERROR(INDIRECT(D59&amp;"!R4"),"")</f>
        <v/>
      </c>
      <c r="V59" s="26"/>
    </row>
    <row r="60" spans="12:22" x14ac:dyDescent="0.25">
      <c r="L60" s="33" cm="1">
        <f t="array" ref="L60">SUMPRODUCT(('Transaction Glossary'!F$5:F$999=D60)*('Transaction Glossary'!J$5:J$999))</f>
        <v>0</v>
      </c>
      <c r="M60" s="17" cm="1">
        <f t="array" ref="M60">SUMPRODUCT(('Transaction Glossary'!F$5:F$999=D60)*('Transaction Glossary'!K$5:K$999))</f>
        <v>0</v>
      </c>
      <c r="N60" s="17" cm="1">
        <f t="array" ref="N60">SUMPRODUCT(('Transaction Glossary'!F$5:F$999=D60)*('Transaction Glossary'!E$5:E$999="Dividend")*('Transaction Glossary'!K$5:K$999))</f>
        <v>0</v>
      </c>
      <c r="P60" s="17">
        <f t="shared" si="0"/>
        <v>0</v>
      </c>
      <c r="Q60" s="33">
        <f t="shared" si="1"/>
        <v>0</v>
      </c>
      <c r="R60" t="str">
        <f t="shared" si="2"/>
        <v/>
      </c>
      <c r="S60" s="26" t="str" cm="1">
        <f t="array" aca="1" ref="S60" ca="1">IFERROR(INDIRECT(D60&amp;"!R4"),"")</f>
        <v/>
      </c>
      <c r="V60" s="26"/>
    </row>
    <row r="61" spans="12:22" x14ac:dyDescent="0.25">
      <c r="L61" s="33" cm="1">
        <f t="array" ref="L61">SUMPRODUCT(('Transaction Glossary'!F$5:F$999=D61)*('Transaction Glossary'!J$5:J$999))</f>
        <v>0</v>
      </c>
      <c r="M61" s="17" cm="1">
        <f t="array" ref="M61">SUMPRODUCT(('Transaction Glossary'!F$5:F$999=D61)*('Transaction Glossary'!K$5:K$999))</f>
        <v>0</v>
      </c>
      <c r="N61" s="17" cm="1">
        <f t="array" ref="N61">SUMPRODUCT(('Transaction Glossary'!F$5:F$999=D61)*('Transaction Glossary'!E$5:E$999="Dividend")*('Transaction Glossary'!K$5:K$999))</f>
        <v>0</v>
      </c>
      <c r="P61" s="17">
        <f t="shared" si="0"/>
        <v>0</v>
      </c>
      <c r="Q61" s="33">
        <f t="shared" si="1"/>
        <v>0</v>
      </c>
      <c r="R61" t="str">
        <f t="shared" si="2"/>
        <v/>
      </c>
      <c r="S61" s="26" t="str" cm="1">
        <f t="array" aca="1" ref="S61" ca="1">IFERROR(INDIRECT(D61&amp;"!R4"),"")</f>
        <v/>
      </c>
      <c r="V61" s="26"/>
    </row>
    <row r="62" spans="12:22" x14ac:dyDescent="0.25">
      <c r="L62" s="33" cm="1">
        <f t="array" ref="L62">SUMPRODUCT(('Transaction Glossary'!F$5:F$999=D62)*('Transaction Glossary'!J$5:J$999))</f>
        <v>0</v>
      </c>
      <c r="M62" s="17" cm="1">
        <f t="array" ref="M62">SUMPRODUCT(('Transaction Glossary'!F$5:F$999=D62)*('Transaction Glossary'!K$5:K$999))</f>
        <v>0</v>
      </c>
      <c r="N62" s="17" cm="1">
        <f t="array" ref="N62">SUMPRODUCT(('Transaction Glossary'!F$5:F$999=D62)*('Transaction Glossary'!E$5:E$999="Dividend")*('Transaction Glossary'!K$5:K$999))</f>
        <v>0</v>
      </c>
      <c r="P62" s="17">
        <f t="shared" si="0"/>
        <v>0</v>
      </c>
      <c r="Q62" s="33">
        <f t="shared" si="1"/>
        <v>0</v>
      </c>
      <c r="R62" t="str">
        <f t="shared" si="2"/>
        <v/>
      </c>
      <c r="S62" s="26" t="str" cm="1">
        <f t="array" aca="1" ref="S62" ca="1">IFERROR(INDIRECT(D62&amp;"!R4"),"")</f>
        <v/>
      </c>
      <c r="V62" s="26"/>
    </row>
    <row r="63" spans="12:22" x14ac:dyDescent="0.25">
      <c r="L63" s="33" cm="1">
        <f t="array" ref="L63">SUMPRODUCT(('Transaction Glossary'!F$5:F$999=D63)*('Transaction Glossary'!J$5:J$999))</f>
        <v>0</v>
      </c>
      <c r="M63" s="17" cm="1">
        <f t="array" ref="M63">SUMPRODUCT(('Transaction Glossary'!F$5:F$999=D63)*('Transaction Glossary'!K$5:K$999))</f>
        <v>0</v>
      </c>
      <c r="N63" s="17" cm="1">
        <f t="array" ref="N63">SUMPRODUCT(('Transaction Glossary'!F$5:F$999=D63)*('Transaction Glossary'!E$5:E$999="Dividend")*('Transaction Glossary'!K$5:K$999))</f>
        <v>0</v>
      </c>
      <c r="P63" s="17">
        <f t="shared" si="0"/>
        <v>0</v>
      </c>
      <c r="Q63" s="33">
        <f t="shared" si="1"/>
        <v>0</v>
      </c>
      <c r="R63" t="str">
        <f t="shared" si="2"/>
        <v/>
      </c>
      <c r="S63" s="26" t="str" cm="1">
        <f t="array" aca="1" ref="S63" ca="1">IFERROR(INDIRECT(D63&amp;"!R4"),"")</f>
        <v/>
      </c>
      <c r="V63" s="26"/>
    </row>
    <row r="64" spans="12:22" x14ac:dyDescent="0.25">
      <c r="L64" s="33" cm="1">
        <f t="array" ref="L64">SUMPRODUCT(('Transaction Glossary'!F$5:F$999=D64)*('Transaction Glossary'!J$5:J$999))</f>
        <v>0</v>
      </c>
      <c r="M64" s="17" cm="1">
        <f t="array" ref="M64">SUMPRODUCT(('Transaction Glossary'!F$5:F$999=D64)*('Transaction Glossary'!K$5:K$999))</f>
        <v>0</v>
      </c>
      <c r="N64" s="17" cm="1">
        <f t="array" ref="N64">SUMPRODUCT(('Transaction Glossary'!F$5:F$999=D64)*('Transaction Glossary'!E$5:E$999="Dividend")*('Transaction Glossary'!K$5:K$999))</f>
        <v>0</v>
      </c>
      <c r="P64" s="17">
        <f t="shared" si="0"/>
        <v>0</v>
      </c>
      <c r="Q64" s="33">
        <f t="shared" si="1"/>
        <v>0</v>
      </c>
      <c r="R64" t="str">
        <f t="shared" si="2"/>
        <v/>
      </c>
      <c r="S64" s="26" t="str" cm="1">
        <f t="array" aca="1" ref="S64" ca="1">IFERROR(INDIRECT(D64&amp;"!R4"),"")</f>
        <v/>
      </c>
      <c r="V64" s="26"/>
    </row>
    <row r="65" spans="12:22" x14ac:dyDescent="0.25">
      <c r="L65" s="33" cm="1">
        <f t="array" ref="L65">SUMPRODUCT(('Transaction Glossary'!F$5:F$999=D65)*('Transaction Glossary'!J$5:J$999))</f>
        <v>0</v>
      </c>
      <c r="M65" s="17" cm="1">
        <f t="array" ref="M65">SUMPRODUCT(('Transaction Glossary'!F$5:F$999=D65)*('Transaction Glossary'!K$5:K$999))</f>
        <v>0</v>
      </c>
      <c r="N65" s="17" cm="1">
        <f t="array" ref="N65">SUMPRODUCT(('Transaction Glossary'!F$5:F$999=D65)*('Transaction Glossary'!E$5:E$999="Dividend")*('Transaction Glossary'!K$5:K$999))</f>
        <v>0</v>
      </c>
      <c r="P65" s="17">
        <f t="shared" si="0"/>
        <v>0</v>
      </c>
      <c r="Q65" s="33">
        <f t="shared" si="1"/>
        <v>0</v>
      </c>
      <c r="R65" t="str">
        <f t="shared" si="2"/>
        <v/>
      </c>
      <c r="S65" s="26" t="str" cm="1">
        <f t="array" aca="1" ref="S65" ca="1">IFERROR(INDIRECT(D65&amp;"!R4"),"")</f>
        <v/>
      </c>
      <c r="V65" s="26"/>
    </row>
    <row r="66" spans="12:22" x14ac:dyDescent="0.25">
      <c r="L66" s="33" cm="1">
        <f t="array" ref="L66">SUMPRODUCT(('Transaction Glossary'!F$5:F$999=D66)*('Transaction Glossary'!J$5:J$999))</f>
        <v>0</v>
      </c>
      <c r="M66" s="17" cm="1">
        <f t="array" ref="M66">SUMPRODUCT(('Transaction Glossary'!F$5:F$999=D66)*('Transaction Glossary'!K$5:K$999))</f>
        <v>0</v>
      </c>
      <c r="N66" s="17" cm="1">
        <f t="array" ref="N66">SUMPRODUCT(('Transaction Glossary'!F$5:F$999=D66)*('Transaction Glossary'!E$5:E$999="Dividend")*('Transaction Glossary'!K$5:K$999))</f>
        <v>0</v>
      </c>
      <c r="P66" s="17">
        <f t="shared" si="0"/>
        <v>0</v>
      </c>
      <c r="Q66" s="33">
        <f t="shared" si="1"/>
        <v>0</v>
      </c>
      <c r="R66" t="str">
        <f t="shared" si="2"/>
        <v/>
      </c>
      <c r="S66" s="26" t="str" cm="1">
        <f t="array" aca="1" ref="S66" ca="1">IFERROR(INDIRECT(D66&amp;"!R4"),"")</f>
        <v/>
      </c>
      <c r="V66" s="26"/>
    </row>
    <row r="67" spans="12:22" x14ac:dyDescent="0.25">
      <c r="L67" s="33" cm="1">
        <f t="array" ref="L67">SUMPRODUCT(('Transaction Glossary'!F$5:F$999=D67)*('Transaction Glossary'!J$5:J$999))</f>
        <v>0</v>
      </c>
      <c r="M67" s="17" cm="1">
        <f t="array" ref="M67">SUMPRODUCT(('Transaction Glossary'!F$5:F$999=D67)*('Transaction Glossary'!K$5:K$999))</f>
        <v>0</v>
      </c>
      <c r="N67" s="17" cm="1">
        <f t="array" ref="N67">SUMPRODUCT(('Transaction Glossary'!F$5:F$999=D67)*('Transaction Glossary'!E$5:E$999="Dividend")*('Transaction Glossary'!K$5:K$999))</f>
        <v>0</v>
      </c>
      <c r="P67" s="17">
        <f t="shared" si="0"/>
        <v>0</v>
      </c>
      <c r="Q67" s="33">
        <f t="shared" si="1"/>
        <v>0</v>
      </c>
      <c r="R67" t="str">
        <f t="shared" si="2"/>
        <v/>
      </c>
      <c r="S67" s="26" t="str" cm="1">
        <f t="array" aca="1" ref="S67" ca="1">IFERROR(INDIRECT(D67&amp;"!R4"),"")</f>
        <v/>
      </c>
      <c r="V67" s="26"/>
    </row>
    <row r="68" spans="12:22" x14ac:dyDescent="0.25">
      <c r="L68" s="33" cm="1">
        <f t="array" ref="L68">SUMPRODUCT(('Transaction Glossary'!F$5:F$999=D68)*('Transaction Glossary'!J$5:J$999))</f>
        <v>0</v>
      </c>
      <c r="M68" s="17" cm="1">
        <f t="array" ref="M68">SUMPRODUCT(('Transaction Glossary'!F$5:F$999=D68)*('Transaction Glossary'!K$5:K$999))</f>
        <v>0</v>
      </c>
      <c r="N68" s="17" cm="1">
        <f t="array" ref="N68">SUMPRODUCT(('Transaction Glossary'!F$5:F$999=D68)*('Transaction Glossary'!E$5:E$999="Dividend")*('Transaction Glossary'!K$5:K$999))</f>
        <v>0</v>
      </c>
      <c r="P68" s="17">
        <f t="shared" si="0"/>
        <v>0</v>
      </c>
      <c r="Q68" s="33">
        <f t="shared" si="1"/>
        <v>0</v>
      </c>
      <c r="R68" t="str">
        <f t="shared" si="2"/>
        <v/>
      </c>
      <c r="S68" s="26" t="str" cm="1">
        <f t="array" aca="1" ref="S68" ca="1">IFERROR(INDIRECT(D68&amp;"!R4"),"")</f>
        <v/>
      </c>
      <c r="V68" s="26"/>
    </row>
    <row r="69" spans="12:22" x14ac:dyDescent="0.25">
      <c r="L69" s="33" cm="1">
        <f t="array" ref="L69">SUMPRODUCT(('Transaction Glossary'!F$5:F$999=D69)*('Transaction Glossary'!J$5:J$999))</f>
        <v>0</v>
      </c>
      <c r="M69" s="17" cm="1">
        <f t="array" ref="M69">SUMPRODUCT(('Transaction Glossary'!F$5:F$999=D69)*('Transaction Glossary'!K$5:K$999))</f>
        <v>0</v>
      </c>
      <c r="N69" s="17" cm="1">
        <f t="array" ref="N69">SUMPRODUCT(('Transaction Glossary'!F$5:F$999=D69)*('Transaction Glossary'!E$5:E$999="Dividend")*('Transaction Glossary'!K$5:K$999))</f>
        <v>0</v>
      </c>
      <c r="P69" s="17">
        <f t="shared" ref="P69:P132" si="5">H69+M69</f>
        <v>0</v>
      </c>
      <c r="Q69" s="33">
        <f t="shared" ref="Q69:Q132" si="6">I69+L69</f>
        <v>0</v>
      </c>
      <c r="R69" t="str">
        <f t="shared" ref="R69:R132" si="7">IFERROR(P69/Q69, "")</f>
        <v/>
      </c>
      <c r="S69" s="26" t="str" cm="1">
        <f t="array" aca="1" ref="S69" ca="1">IFERROR(INDIRECT(D69&amp;"!R4"),"")</f>
        <v/>
      </c>
      <c r="V69" s="26"/>
    </row>
    <row r="70" spans="12:22" x14ac:dyDescent="0.25">
      <c r="L70" s="33" cm="1">
        <f t="array" ref="L70">SUMPRODUCT(('Transaction Glossary'!F$5:F$999=D70)*('Transaction Glossary'!J$5:J$999))</f>
        <v>0</v>
      </c>
      <c r="M70" s="17" cm="1">
        <f t="array" ref="M70">SUMPRODUCT(('Transaction Glossary'!F$5:F$999=D70)*('Transaction Glossary'!K$5:K$999))</f>
        <v>0</v>
      </c>
      <c r="N70" s="17" cm="1">
        <f t="array" ref="N70">SUMPRODUCT(('Transaction Glossary'!F$5:F$999=D70)*('Transaction Glossary'!E$5:E$999="Dividend")*('Transaction Glossary'!K$5:K$999))</f>
        <v>0</v>
      </c>
      <c r="P70" s="17">
        <f t="shared" si="5"/>
        <v>0</v>
      </c>
      <c r="Q70" s="33">
        <f t="shared" si="6"/>
        <v>0</v>
      </c>
      <c r="R70" t="str">
        <f t="shared" si="7"/>
        <v/>
      </c>
      <c r="S70" s="26" t="str" cm="1">
        <f t="array" aca="1" ref="S70" ca="1">IFERROR(INDIRECT(D70&amp;"!R4"),"")</f>
        <v/>
      </c>
      <c r="V70" s="26"/>
    </row>
    <row r="71" spans="12:22" x14ac:dyDescent="0.25">
      <c r="L71" s="33" cm="1">
        <f t="array" ref="L71">SUMPRODUCT(('Transaction Glossary'!F$5:F$999=D71)*('Transaction Glossary'!J$5:J$999))</f>
        <v>0</v>
      </c>
      <c r="M71" s="17" cm="1">
        <f t="array" ref="M71">SUMPRODUCT(('Transaction Glossary'!F$5:F$999=D71)*('Transaction Glossary'!K$5:K$999))</f>
        <v>0</v>
      </c>
      <c r="N71" s="17" cm="1">
        <f t="array" ref="N71">SUMPRODUCT(('Transaction Glossary'!F$5:F$999=D71)*('Transaction Glossary'!E$5:E$999="Dividend")*('Transaction Glossary'!K$5:K$999))</f>
        <v>0</v>
      </c>
      <c r="P71" s="17">
        <f t="shared" si="5"/>
        <v>0</v>
      </c>
      <c r="Q71" s="33">
        <f t="shared" si="6"/>
        <v>0</v>
      </c>
      <c r="R71" t="str">
        <f t="shared" si="7"/>
        <v/>
      </c>
      <c r="S71" s="26" t="str" cm="1">
        <f t="array" aca="1" ref="S71" ca="1">IFERROR(INDIRECT(D71&amp;"!R4"),"")</f>
        <v/>
      </c>
      <c r="V71" s="26"/>
    </row>
    <row r="72" spans="12:22" x14ac:dyDescent="0.25">
      <c r="L72" s="33" cm="1">
        <f t="array" ref="L72">SUMPRODUCT(('Transaction Glossary'!F$5:F$999=D72)*('Transaction Glossary'!J$5:J$999))</f>
        <v>0</v>
      </c>
      <c r="M72" s="17" cm="1">
        <f t="array" ref="M72">SUMPRODUCT(('Transaction Glossary'!F$5:F$999=D72)*('Transaction Glossary'!K$5:K$999))</f>
        <v>0</v>
      </c>
      <c r="N72" s="17" cm="1">
        <f t="array" ref="N72">SUMPRODUCT(('Transaction Glossary'!F$5:F$999=D72)*('Transaction Glossary'!E$5:E$999="Dividend")*('Transaction Glossary'!K$5:K$999))</f>
        <v>0</v>
      </c>
      <c r="P72" s="17">
        <f t="shared" si="5"/>
        <v>0</v>
      </c>
      <c r="Q72" s="33">
        <f t="shared" si="6"/>
        <v>0</v>
      </c>
      <c r="R72" t="str">
        <f t="shared" si="7"/>
        <v/>
      </c>
      <c r="S72" s="26" t="str" cm="1">
        <f t="array" aca="1" ref="S72" ca="1">IFERROR(INDIRECT(D72&amp;"!R4"),"")</f>
        <v/>
      </c>
      <c r="V72" s="26"/>
    </row>
    <row r="73" spans="12:22" x14ac:dyDescent="0.25">
      <c r="L73" s="33" cm="1">
        <f t="array" ref="L73">SUMPRODUCT(('Transaction Glossary'!F$5:F$999=D73)*('Transaction Glossary'!J$5:J$999))</f>
        <v>0</v>
      </c>
      <c r="M73" s="17" cm="1">
        <f t="array" ref="M73">SUMPRODUCT(('Transaction Glossary'!F$5:F$999=D73)*('Transaction Glossary'!K$5:K$999))</f>
        <v>0</v>
      </c>
      <c r="N73" s="17" cm="1">
        <f t="array" ref="N73">SUMPRODUCT(('Transaction Glossary'!F$5:F$999=D73)*('Transaction Glossary'!E$5:E$999="Dividend")*('Transaction Glossary'!K$5:K$999))</f>
        <v>0</v>
      </c>
      <c r="P73" s="17">
        <f t="shared" si="5"/>
        <v>0</v>
      </c>
      <c r="Q73" s="33">
        <f t="shared" si="6"/>
        <v>0</v>
      </c>
      <c r="R73" t="str">
        <f t="shared" si="7"/>
        <v/>
      </c>
      <c r="S73" s="26" t="str" cm="1">
        <f t="array" aca="1" ref="S73" ca="1">IFERROR(INDIRECT(D73&amp;"!R4"),"")</f>
        <v/>
      </c>
      <c r="V73" s="26"/>
    </row>
    <row r="74" spans="12:22" x14ac:dyDescent="0.25">
      <c r="L74" s="33" cm="1">
        <f t="array" ref="L74">SUMPRODUCT(('Transaction Glossary'!F$5:F$999=D74)*('Transaction Glossary'!J$5:J$999))</f>
        <v>0</v>
      </c>
      <c r="M74" s="17" cm="1">
        <f t="array" ref="M74">SUMPRODUCT(('Transaction Glossary'!F$5:F$999=D74)*('Transaction Glossary'!K$5:K$999))</f>
        <v>0</v>
      </c>
      <c r="N74" s="17" cm="1">
        <f t="array" ref="N74">SUMPRODUCT(('Transaction Glossary'!F$5:F$999=D74)*('Transaction Glossary'!E$5:E$999="Dividend")*('Transaction Glossary'!K$5:K$999))</f>
        <v>0</v>
      </c>
      <c r="P74" s="17">
        <f t="shared" si="5"/>
        <v>0</v>
      </c>
      <c r="Q74" s="33">
        <f t="shared" si="6"/>
        <v>0</v>
      </c>
      <c r="R74" t="str">
        <f t="shared" si="7"/>
        <v/>
      </c>
      <c r="S74" s="26" t="str" cm="1">
        <f t="array" aca="1" ref="S74" ca="1">IFERROR(INDIRECT(D74&amp;"!R4"),"")</f>
        <v/>
      </c>
      <c r="V74" s="26"/>
    </row>
    <row r="75" spans="12:22" x14ac:dyDescent="0.25">
      <c r="L75" s="33" cm="1">
        <f t="array" ref="L75">SUMPRODUCT(('Transaction Glossary'!F$5:F$999=D75)*('Transaction Glossary'!J$5:J$999))</f>
        <v>0</v>
      </c>
      <c r="M75" s="17" cm="1">
        <f t="array" ref="M75">SUMPRODUCT(('Transaction Glossary'!F$5:F$999=D75)*('Transaction Glossary'!K$5:K$999))</f>
        <v>0</v>
      </c>
      <c r="N75" s="17" cm="1">
        <f t="array" ref="N75">SUMPRODUCT(('Transaction Glossary'!F$5:F$999=D75)*('Transaction Glossary'!E$5:E$999="Dividend")*('Transaction Glossary'!K$5:K$999))</f>
        <v>0</v>
      </c>
      <c r="P75" s="17">
        <f t="shared" si="5"/>
        <v>0</v>
      </c>
      <c r="Q75" s="33">
        <f t="shared" si="6"/>
        <v>0</v>
      </c>
      <c r="R75" t="str">
        <f t="shared" si="7"/>
        <v/>
      </c>
      <c r="S75" s="26" t="str" cm="1">
        <f t="array" aca="1" ref="S75" ca="1">IFERROR(INDIRECT(D75&amp;"!R4"),"")</f>
        <v/>
      </c>
      <c r="V75" s="26"/>
    </row>
    <row r="76" spans="12:22" x14ac:dyDescent="0.25">
      <c r="L76" s="33" cm="1">
        <f t="array" ref="L76">SUMPRODUCT(('Transaction Glossary'!F$5:F$999=D76)*('Transaction Glossary'!J$5:J$999))</f>
        <v>0</v>
      </c>
      <c r="M76" s="17" cm="1">
        <f t="array" ref="M76">SUMPRODUCT(('Transaction Glossary'!F$5:F$999=D76)*('Transaction Glossary'!K$5:K$999))</f>
        <v>0</v>
      </c>
      <c r="N76" s="17" cm="1">
        <f t="array" ref="N76">SUMPRODUCT(('Transaction Glossary'!F$5:F$999=D76)*('Transaction Glossary'!E$5:E$999="Dividend")*('Transaction Glossary'!K$5:K$999))</f>
        <v>0</v>
      </c>
      <c r="P76" s="17">
        <f t="shared" si="5"/>
        <v>0</v>
      </c>
      <c r="Q76" s="33">
        <f t="shared" si="6"/>
        <v>0</v>
      </c>
      <c r="R76" t="str">
        <f t="shared" si="7"/>
        <v/>
      </c>
      <c r="S76" s="26" t="str" cm="1">
        <f t="array" aca="1" ref="S76" ca="1">IFERROR(INDIRECT(D76&amp;"!R4"),"")</f>
        <v/>
      </c>
      <c r="V76" s="26"/>
    </row>
    <row r="77" spans="12:22" x14ac:dyDescent="0.25">
      <c r="L77" s="33" cm="1">
        <f t="array" ref="L77">SUMPRODUCT(('Transaction Glossary'!F$5:F$999=D77)*('Transaction Glossary'!J$5:J$999))</f>
        <v>0</v>
      </c>
      <c r="M77" s="17" cm="1">
        <f t="array" ref="M77">SUMPRODUCT(('Transaction Glossary'!F$5:F$999=D77)*('Transaction Glossary'!K$5:K$999))</f>
        <v>0</v>
      </c>
      <c r="N77" s="17" cm="1">
        <f t="array" ref="N77">SUMPRODUCT(('Transaction Glossary'!F$5:F$999=D77)*('Transaction Glossary'!E$5:E$999="Dividend")*('Transaction Glossary'!K$5:K$999))</f>
        <v>0</v>
      </c>
      <c r="P77" s="17">
        <f t="shared" si="5"/>
        <v>0</v>
      </c>
      <c r="Q77" s="33">
        <f t="shared" si="6"/>
        <v>0</v>
      </c>
      <c r="R77" t="str">
        <f t="shared" si="7"/>
        <v/>
      </c>
      <c r="S77" s="26" t="str" cm="1">
        <f t="array" aca="1" ref="S77" ca="1">IFERROR(INDIRECT(D77&amp;"!R4"),"")</f>
        <v/>
      </c>
      <c r="V77" s="26"/>
    </row>
    <row r="78" spans="12:22" x14ac:dyDescent="0.25">
      <c r="L78" s="33" cm="1">
        <f t="array" ref="L78">SUMPRODUCT(('Transaction Glossary'!F$5:F$999=D78)*('Transaction Glossary'!J$5:J$999))</f>
        <v>0</v>
      </c>
      <c r="M78" s="17" cm="1">
        <f t="array" ref="M78">SUMPRODUCT(('Transaction Glossary'!F$5:F$999=D78)*('Transaction Glossary'!K$5:K$999))</f>
        <v>0</v>
      </c>
      <c r="N78" s="17" cm="1">
        <f t="array" ref="N78">SUMPRODUCT(('Transaction Glossary'!F$5:F$999=D78)*('Transaction Glossary'!E$5:E$999="Dividend")*('Transaction Glossary'!K$5:K$999))</f>
        <v>0</v>
      </c>
      <c r="P78" s="17">
        <f t="shared" si="5"/>
        <v>0</v>
      </c>
      <c r="Q78" s="33">
        <f t="shared" si="6"/>
        <v>0</v>
      </c>
      <c r="R78" t="str">
        <f t="shared" si="7"/>
        <v/>
      </c>
      <c r="S78" s="26" t="str" cm="1">
        <f t="array" aca="1" ref="S78" ca="1">IFERROR(INDIRECT(D78&amp;"!R4"),"")</f>
        <v/>
      </c>
      <c r="V78" s="26"/>
    </row>
    <row r="79" spans="12:22" x14ac:dyDescent="0.25">
      <c r="L79" s="33" cm="1">
        <f t="array" ref="L79">SUMPRODUCT(('Transaction Glossary'!F$5:F$999=D79)*('Transaction Glossary'!J$5:J$999))</f>
        <v>0</v>
      </c>
      <c r="M79" s="17" cm="1">
        <f t="array" ref="M79">SUMPRODUCT(('Transaction Glossary'!F$5:F$999=D79)*('Transaction Glossary'!K$5:K$999))</f>
        <v>0</v>
      </c>
      <c r="N79" s="17" cm="1">
        <f t="array" ref="N79">SUMPRODUCT(('Transaction Glossary'!F$5:F$999=D79)*('Transaction Glossary'!E$5:E$999="Dividend")*('Transaction Glossary'!K$5:K$999))</f>
        <v>0</v>
      </c>
      <c r="P79" s="17">
        <f t="shared" si="5"/>
        <v>0</v>
      </c>
      <c r="Q79" s="33">
        <f t="shared" si="6"/>
        <v>0</v>
      </c>
      <c r="R79" t="str">
        <f t="shared" si="7"/>
        <v/>
      </c>
      <c r="S79" s="26" t="str" cm="1">
        <f t="array" aca="1" ref="S79" ca="1">IFERROR(INDIRECT(D79&amp;"!R4"),"")</f>
        <v/>
      </c>
      <c r="V79" s="26"/>
    </row>
    <row r="80" spans="12:22" x14ac:dyDescent="0.25">
      <c r="L80" s="33" cm="1">
        <f t="array" ref="L80">SUMPRODUCT(('Transaction Glossary'!F$5:F$999=D80)*('Transaction Glossary'!J$5:J$999))</f>
        <v>0</v>
      </c>
      <c r="M80" s="17" cm="1">
        <f t="array" ref="M80">SUMPRODUCT(('Transaction Glossary'!F$5:F$999=D80)*('Transaction Glossary'!K$5:K$999))</f>
        <v>0</v>
      </c>
      <c r="N80" s="17" cm="1">
        <f t="array" ref="N80">SUMPRODUCT(('Transaction Glossary'!F$5:F$999=D80)*('Transaction Glossary'!E$5:E$999="Dividend")*('Transaction Glossary'!K$5:K$999))</f>
        <v>0</v>
      </c>
      <c r="P80" s="17">
        <f t="shared" si="5"/>
        <v>0</v>
      </c>
      <c r="Q80" s="33">
        <f t="shared" si="6"/>
        <v>0</v>
      </c>
      <c r="R80" t="str">
        <f t="shared" si="7"/>
        <v/>
      </c>
      <c r="S80" s="26" t="str" cm="1">
        <f t="array" aca="1" ref="S80" ca="1">IFERROR(INDIRECT(D80&amp;"!R4"),"")</f>
        <v/>
      </c>
      <c r="V80" s="26"/>
    </row>
    <row r="81" spans="12:22" x14ac:dyDescent="0.25">
      <c r="L81" s="33" cm="1">
        <f t="array" ref="L81">SUMPRODUCT(('Transaction Glossary'!F$5:F$999=D81)*('Transaction Glossary'!J$5:J$999))</f>
        <v>0</v>
      </c>
      <c r="M81" s="17" cm="1">
        <f t="array" ref="M81">SUMPRODUCT(('Transaction Glossary'!F$5:F$999=D81)*('Transaction Glossary'!K$5:K$999))</f>
        <v>0</v>
      </c>
      <c r="N81" s="17" cm="1">
        <f t="array" ref="N81">SUMPRODUCT(('Transaction Glossary'!F$5:F$999=D81)*('Transaction Glossary'!E$5:E$999="Dividend")*('Transaction Glossary'!K$5:K$999))</f>
        <v>0</v>
      </c>
      <c r="P81" s="17">
        <f t="shared" si="5"/>
        <v>0</v>
      </c>
      <c r="Q81" s="33">
        <f t="shared" si="6"/>
        <v>0</v>
      </c>
      <c r="R81" t="str">
        <f t="shared" si="7"/>
        <v/>
      </c>
      <c r="S81" s="26" t="str" cm="1">
        <f t="array" aca="1" ref="S81" ca="1">IFERROR(INDIRECT(D81&amp;"!R4"),"")</f>
        <v/>
      </c>
      <c r="V81" s="26"/>
    </row>
    <row r="82" spans="12:22" x14ac:dyDescent="0.25">
      <c r="L82" s="33" cm="1">
        <f t="array" ref="L82">SUMPRODUCT(('Transaction Glossary'!F$5:F$999=D82)*('Transaction Glossary'!J$5:J$999))</f>
        <v>0</v>
      </c>
      <c r="M82" s="17" cm="1">
        <f t="array" ref="M82">SUMPRODUCT(('Transaction Glossary'!F$5:F$999=D82)*('Transaction Glossary'!K$5:K$999))</f>
        <v>0</v>
      </c>
      <c r="N82" s="17" cm="1">
        <f t="array" ref="N82">SUMPRODUCT(('Transaction Glossary'!F$5:F$999=D82)*('Transaction Glossary'!E$5:E$999="Dividend")*('Transaction Glossary'!K$5:K$999))</f>
        <v>0</v>
      </c>
      <c r="P82" s="17">
        <f t="shared" si="5"/>
        <v>0</v>
      </c>
      <c r="Q82" s="33">
        <f t="shared" si="6"/>
        <v>0</v>
      </c>
      <c r="R82" t="str">
        <f t="shared" si="7"/>
        <v/>
      </c>
      <c r="S82" s="26" t="str" cm="1">
        <f t="array" aca="1" ref="S82" ca="1">IFERROR(INDIRECT(D82&amp;"!R4"),"")</f>
        <v/>
      </c>
      <c r="V82" s="26"/>
    </row>
    <row r="83" spans="12:22" x14ac:dyDescent="0.25">
      <c r="L83" s="33" cm="1">
        <f t="array" ref="L83">SUMPRODUCT(('Transaction Glossary'!F$5:F$999=D83)*('Transaction Glossary'!J$5:J$999))</f>
        <v>0</v>
      </c>
      <c r="M83" s="17" cm="1">
        <f t="array" ref="M83">SUMPRODUCT(('Transaction Glossary'!F$5:F$999=D83)*('Transaction Glossary'!K$5:K$999))</f>
        <v>0</v>
      </c>
      <c r="N83" s="17" cm="1">
        <f t="array" ref="N83">SUMPRODUCT(('Transaction Glossary'!F$5:F$999=D83)*('Transaction Glossary'!E$5:E$999="Dividend")*('Transaction Glossary'!K$5:K$999))</f>
        <v>0</v>
      </c>
      <c r="P83" s="17">
        <f t="shared" si="5"/>
        <v>0</v>
      </c>
      <c r="Q83" s="33">
        <f t="shared" si="6"/>
        <v>0</v>
      </c>
      <c r="R83" t="str">
        <f t="shared" si="7"/>
        <v/>
      </c>
      <c r="S83" s="26" t="str" cm="1">
        <f t="array" aca="1" ref="S83" ca="1">IFERROR(INDIRECT(D83&amp;"!R4"),"")</f>
        <v/>
      </c>
      <c r="V83" s="26"/>
    </row>
    <row r="84" spans="12:22" x14ac:dyDescent="0.25">
      <c r="L84" s="33" cm="1">
        <f t="array" ref="L84">SUMPRODUCT(('Transaction Glossary'!F$5:F$999=D84)*('Transaction Glossary'!J$5:J$999))</f>
        <v>0</v>
      </c>
      <c r="M84" s="17" cm="1">
        <f t="array" ref="M84">SUMPRODUCT(('Transaction Glossary'!F$5:F$999=D84)*('Transaction Glossary'!K$5:K$999))</f>
        <v>0</v>
      </c>
      <c r="N84" s="17" cm="1">
        <f t="array" ref="N84">SUMPRODUCT(('Transaction Glossary'!F$5:F$999=D84)*('Transaction Glossary'!E$5:E$999="Dividend")*('Transaction Glossary'!K$5:K$999))</f>
        <v>0</v>
      </c>
      <c r="P84" s="17">
        <f t="shared" si="5"/>
        <v>0</v>
      </c>
      <c r="Q84" s="33">
        <f t="shared" si="6"/>
        <v>0</v>
      </c>
      <c r="R84" t="str">
        <f t="shared" si="7"/>
        <v/>
      </c>
      <c r="S84" s="26" t="str" cm="1">
        <f t="array" aca="1" ref="S84" ca="1">IFERROR(INDIRECT(D84&amp;"!R4"),"")</f>
        <v/>
      </c>
      <c r="V84" s="26"/>
    </row>
    <row r="85" spans="12:22" x14ac:dyDescent="0.25">
      <c r="L85" s="33" cm="1">
        <f t="array" ref="L85">SUMPRODUCT(('Transaction Glossary'!F$5:F$999=D85)*('Transaction Glossary'!J$5:J$999))</f>
        <v>0</v>
      </c>
      <c r="M85" s="17" cm="1">
        <f t="array" ref="M85">SUMPRODUCT(('Transaction Glossary'!F$5:F$999=D85)*('Transaction Glossary'!K$5:K$999))</f>
        <v>0</v>
      </c>
      <c r="N85" s="17" cm="1">
        <f t="array" ref="N85">SUMPRODUCT(('Transaction Glossary'!F$5:F$999=D85)*('Transaction Glossary'!E$5:E$999="Dividend")*('Transaction Glossary'!K$5:K$999))</f>
        <v>0</v>
      </c>
      <c r="P85" s="17">
        <f t="shared" si="5"/>
        <v>0</v>
      </c>
      <c r="Q85" s="33">
        <f t="shared" si="6"/>
        <v>0</v>
      </c>
      <c r="R85" t="str">
        <f t="shared" si="7"/>
        <v/>
      </c>
      <c r="S85" s="26" t="str" cm="1">
        <f t="array" aca="1" ref="S85" ca="1">IFERROR(INDIRECT(D85&amp;"!R4"),"")</f>
        <v/>
      </c>
      <c r="V85" s="26"/>
    </row>
    <row r="86" spans="12:22" x14ac:dyDescent="0.25">
      <c r="L86" s="33" cm="1">
        <f t="array" ref="L86">SUMPRODUCT(('Transaction Glossary'!F$5:F$999=D86)*('Transaction Glossary'!J$5:J$999))</f>
        <v>0</v>
      </c>
      <c r="M86" s="17" cm="1">
        <f t="array" ref="M86">SUMPRODUCT(('Transaction Glossary'!F$5:F$999=D86)*('Transaction Glossary'!K$5:K$999))</f>
        <v>0</v>
      </c>
      <c r="N86" s="17" cm="1">
        <f t="array" ref="N86">SUMPRODUCT(('Transaction Glossary'!F$5:F$999=D86)*('Transaction Glossary'!E$5:E$999="Dividend")*('Transaction Glossary'!K$5:K$999))</f>
        <v>0</v>
      </c>
      <c r="P86" s="17">
        <f t="shared" si="5"/>
        <v>0</v>
      </c>
      <c r="Q86" s="33">
        <f t="shared" si="6"/>
        <v>0</v>
      </c>
      <c r="R86" t="str">
        <f t="shared" si="7"/>
        <v/>
      </c>
      <c r="S86" s="26" t="str" cm="1">
        <f t="array" aca="1" ref="S86" ca="1">IFERROR(INDIRECT(D86&amp;"!R4"),"")</f>
        <v/>
      </c>
      <c r="V86" s="26"/>
    </row>
    <row r="87" spans="12:22" x14ac:dyDescent="0.25">
      <c r="L87" s="33" cm="1">
        <f t="array" ref="L87">SUMPRODUCT(('Transaction Glossary'!F$5:F$999=D87)*('Transaction Glossary'!J$5:J$999))</f>
        <v>0</v>
      </c>
      <c r="M87" s="17" cm="1">
        <f t="array" ref="M87">SUMPRODUCT(('Transaction Glossary'!F$5:F$999=D87)*('Transaction Glossary'!K$5:K$999))</f>
        <v>0</v>
      </c>
      <c r="N87" s="17" cm="1">
        <f t="array" ref="N87">SUMPRODUCT(('Transaction Glossary'!F$5:F$999=D87)*('Transaction Glossary'!E$5:E$999="Dividend")*('Transaction Glossary'!K$5:K$999))</f>
        <v>0</v>
      </c>
      <c r="P87" s="17">
        <f t="shared" si="5"/>
        <v>0</v>
      </c>
      <c r="Q87" s="33">
        <f t="shared" si="6"/>
        <v>0</v>
      </c>
      <c r="R87" t="str">
        <f t="shared" si="7"/>
        <v/>
      </c>
      <c r="S87" s="26" t="str" cm="1">
        <f t="array" aca="1" ref="S87" ca="1">IFERROR(INDIRECT(D87&amp;"!R4"),"")</f>
        <v/>
      </c>
      <c r="V87" s="26"/>
    </row>
    <row r="88" spans="12:22" x14ac:dyDescent="0.25">
      <c r="L88" s="33" cm="1">
        <f t="array" ref="L88">SUMPRODUCT(('Transaction Glossary'!F$5:F$999=D88)*('Transaction Glossary'!J$5:J$999))</f>
        <v>0</v>
      </c>
      <c r="M88" s="17" cm="1">
        <f t="array" ref="M88">SUMPRODUCT(('Transaction Glossary'!F$5:F$999=D88)*('Transaction Glossary'!K$5:K$999))</f>
        <v>0</v>
      </c>
      <c r="N88" s="17" cm="1">
        <f t="array" ref="N88">SUMPRODUCT(('Transaction Glossary'!F$5:F$999=D88)*('Transaction Glossary'!E$5:E$999="Dividend")*('Transaction Glossary'!K$5:K$999))</f>
        <v>0</v>
      </c>
      <c r="P88" s="17">
        <f t="shared" si="5"/>
        <v>0</v>
      </c>
      <c r="Q88" s="33">
        <f t="shared" si="6"/>
        <v>0</v>
      </c>
      <c r="R88" t="str">
        <f t="shared" si="7"/>
        <v/>
      </c>
      <c r="S88" s="26" t="str" cm="1">
        <f t="array" aca="1" ref="S88" ca="1">IFERROR(INDIRECT(D88&amp;"!R4"),"")</f>
        <v/>
      </c>
      <c r="V88" s="26"/>
    </row>
    <row r="89" spans="12:22" x14ac:dyDescent="0.25">
      <c r="L89" s="33" cm="1">
        <f t="array" ref="L89">SUMPRODUCT(('Transaction Glossary'!F$5:F$999=D89)*('Transaction Glossary'!J$5:J$999))</f>
        <v>0</v>
      </c>
      <c r="M89" s="17" cm="1">
        <f t="array" ref="M89">SUMPRODUCT(('Transaction Glossary'!F$5:F$999=D89)*('Transaction Glossary'!K$5:K$999))</f>
        <v>0</v>
      </c>
      <c r="N89" s="17" cm="1">
        <f t="array" ref="N89">SUMPRODUCT(('Transaction Glossary'!F$5:F$999=D89)*('Transaction Glossary'!E$5:E$999="Dividend")*('Transaction Glossary'!K$5:K$999))</f>
        <v>0</v>
      </c>
      <c r="P89" s="17">
        <f t="shared" si="5"/>
        <v>0</v>
      </c>
      <c r="Q89" s="33">
        <f t="shared" si="6"/>
        <v>0</v>
      </c>
      <c r="R89" t="str">
        <f t="shared" si="7"/>
        <v/>
      </c>
      <c r="S89" s="26" t="str" cm="1">
        <f t="array" aca="1" ref="S89" ca="1">IFERROR(INDIRECT(D89&amp;"!R4"),"")</f>
        <v/>
      </c>
      <c r="V89" s="26"/>
    </row>
    <row r="90" spans="12:22" x14ac:dyDescent="0.25">
      <c r="L90" s="33" cm="1">
        <f t="array" ref="L90">SUMPRODUCT(('Transaction Glossary'!F$5:F$999=D90)*('Transaction Glossary'!J$5:J$999))</f>
        <v>0</v>
      </c>
      <c r="M90" s="17" cm="1">
        <f t="array" ref="M90">SUMPRODUCT(('Transaction Glossary'!F$5:F$999=D90)*('Transaction Glossary'!K$5:K$999))</f>
        <v>0</v>
      </c>
      <c r="N90" s="17" cm="1">
        <f t="array" ref="N90">SUMPRODUCT(('Transaction Glossary'!F$5:F$999=D90)*('Transaction Glossary'!E$5:E$999="Dividend")*('Transaction Glossary'!K$5:K$999))</f>
        <v>0</v>
      </c>
      <c r="P90" s="17">
        <f t="shared" si="5"/>
        <v>0</v>
      </c>
      <c r="Q90" s="33">
        <f t="shared" si="6"/>
        <v>0</v>
      </c>
      <c r="R90" t="str">
        <f t="shared" si="7"/>
        <v/>
      </c>
      <c r="S90" s="26" t="str" cm="1">
        <f t="array" aca="1" ref="S90" ca="1">IFERROR(INDIRECT(D90&amp;"!R4"),"")</f>
        <v/>
      </c>
      <c r="V90" s="26"/>
    </row>
    <row r="91" spans="12:22" x14ac:dyDescent="0.25">
      <c r="L91" s="33" cm="1">
        <f t="array" ref="L91">SUMPRODUCT(('Transaction Glossary'!F$5:F$999=D91)*('Transaction Glossary'!J$5:J$999))</f>
        <v>0</v>
      </c>
      <c r="M91" s="17" cm="1">
        <f t="array" ref="M91">SUMPRODUCT(('Transaction Glossary'!F$5:F$999=D91)*('Transaction Glossary'!K$5:K$999))</f>
        <v>0</v>
      </c>
      <c r="N91" s="17" cm="1">
        <f t="array" ref="N91">SUMPRODUCT(('Transaction Glossary'!F$5:F$999=D91)*('Transaction Glossary'!E$5:E$999="Dividend")*('Transaction Glossary'!K$5:K$999))</f>
        <v>0</v>
      </c>
      <c r="P91" s="17">
        <f t="shared" si="5"/>
        <v>0</v>
      </c>
      <c r="Q91" s="33">
        <f t="shared" si="6"/>
        <v>0</v>
      </c>
      <c r="R91" t="str">
        <f t="shared" si="7"/>
        <v/>
      </c>
      <c r="S91" s="26" t="str" cm="1">
        <f t="array" aca="1" ref="S91" ca="1">IFERROR(INDIRECT(D91&amp;"!R4"),"")</f>
        <v/>
      </c>
      <c r="V91" s="26"/>
    </row>
    <row r="92" spans="12:22" x14ac:dyDescent="0.25">
      <c r="L92" s="33" cm="1">
        <f t="array" ref="L92">SUMPRODUCT(('Transaction Glossary'!F$5:F$999=D92)*('Transaction Glossary'!J$5:J$999))</f>
        <v>0</v>
      </c>
      <c r="M92" s="17" cm="1">
        <f t="array" ref="M92">SUMPRODUCT(('Transaction Glossary'!F$5:F$999=D92)*('Transaction Glossary'!K$5:K$999))</f>
        <v>0</v>
      </c>
      <c r="N92" s="17" cm="1">
        <f t="array" ref="N92">SUMPRODUCT(('Transaction Glossary'!F$5:F$999=D92)*('Transaction Glossary'!E$5:E$999="Dividend")*('Transaction Glossary'!K$5:K$999))</f>
        <v>0</v>
      </c>
      <c r="P92" s="17">
        <f t="shared" si="5"/>
        <v>0</v>
      </c>
      <c r="Q92" s="33">
        <f t="shared" si="6"/>
        <v>0</v>
      </c>
      <c r="R92" t="str">
        <f t="shared" si="7"/>
        <v/>
      </c>
      <c r="S92" s="26" t="str" cm="1">
        <f t="array" aca="1" ref="S92" ca="1">IFERROR(INDIRECT(D92&amp;"!R4"),"")</f>
        <v/>
      </c>
      <c r="V92" s="26"/>
    </row>
    <row r="93" spans="12:22" x14ac:dyDescent="0.25">
      <c r="L93" s="33" cm="1">
        <f t="array" ref="L93">SUMPRODUCT(('Transaction Glossary'!F$5:F$999=D93)*('Transaction Glossary'!J$5:J$999))</f>
        <v>0</v>
      </c>
      <c r="M93" s="17" cm="1">
        <f t="array" ref="M93">SUMPRODUCT(('Transaction Glossary'!F$5:F$999=D93)*('Transaction Glossary'!K$5:K$999))</f>
        <v>0</v>
      </c>
      <c r="N93" s="17" cm="1">
        <f t="array" ref="N93">SUMPRODUCT(('Transaction Glossary'!F$5:F$999=D93)*('Transaction Glossary'!E$5:E$999="Dividend")*('Transaction Glossary'!K$5:K$999))</f>
        <v>0</v>
      </c>
      <c r="P93" s="17">
        <f t="shared" si="5"/>
        <v>0</v>
      </c>
      <c r="Q93" s="33">
        <f t="shared" si="6"/>
        <v>0</v>
      </c>
      <c r="R93" t="str">
        <f t="shared" si="7"/>
        <v/>
      </c>
      <c r="S93" s="26" t="str" cm="1">
        <f t="array" aca="1" ref="S93" ca="1">IFERROR(INDIRECT(D93&amp;"!R4"),"")</f>
        <v/>
      </c>
      <c r="V93" s="26"/>
    </row>
    <row r="94" spans="12:22" x14ac:dyDescent="0.25">
      <c r="L94" s="33" cm="1">
        <f t="array" ref="L94">SUMPRODUCT(('Transaction Glossary'!F$5:F$999=D94)*('Transaction Glossary'!J$5:J$999))</f>
        <v>0</v>
      </c>
      <c r="M94" s="17" cm="1">
        <f t="array" ref="M94">SUMPRODUCT(('Transaction Glossary'!F$5:F$999=D94)*('Transaction Glossary'!K$5:K$999))</f>
        <v>0</v>
      </c>
      <c r="N94" s="17" cm="1">
        <f t="array" ref="N94">SUMPRODUCT(('Transaction Glossary'!F$5:F$999=D94)*('Transaction Glossary'!E$5:E$999="Dividend")*('Transaction Glossary'!K$5:K$999))</f>
        <v>0</v>
      </c>
      <c r="P94" s="17">
        <f t="shared" si="5"/>
        <v>0</v>
      </c>
      <c r="Q94" s="33">
        <f t="shared" si="6"/>
        <v>0</v>
      </c>
      <c r="R94" t="str">
        <f t="shared" si="7"/>
        <v/>
      </c>
      <c r="S94" s="26" t="str" cm="1">
        <f t="array" aca="1" ref="S94" ca="1">IFERROR(INDIRECT(D94&amp;"!R4"),"")</f>
        <v/>
      </c>
      <c r="V94" s="26"/>
    </row>
    <row r="95" spans="12:22" x14ac:dyDescent="0.25">
      <c r="L95" s="33" cm="1">
        <f t="array" ref="L95">SUMPRODUCT(('Transaction Glossary'!F$5:F$999=D95)*('Transaction Glossary'!J$5:J$999))</f>
        <v>0</v>
      </c>
      <c r="M95" s="17" cm="1">
        <f t="array" ref="M95">SUMPRODUCT(('Transaction Glossary'!F$5:F$999=D95)*('Transaction Glossary'!K$5:K$999))</f>
        <v>0</v>
      </c>
      <c r="N95" s="17" cm="1">
        <f t="array" ref="N95">SUMPRODUCT(('Transaction Glossary'!F$5:F$999=D95)*('Transaction Glossary'!E$5:E$999="Dividend")*('Transaction Glossary'!K$5:K$999))</f>
        <v>0</v>
      </c>
      <c r="P95" s="17">
        <f t="shared" si="5"/>
        <v>0</v>
      </c>
      <c r="Q95" s="33">
        <f t="shared" si="6"/>
        <v>0</v>
      </c>
      <c r="R95" t="str">
        <f t="shared" si="7"/>
        <v/>
      </c>
      <c r="S95" s="26" t="str" cm="1">
        <f t="array" aca="1" ref="S95" ca="1">IFERROR(INDIRECT(D95&amp;"!R4"),"")</f>
        <v/>
      </c>
      <c r="V95" s="26"/>
    </row>
    <row r="96" spans="12:22" x14ac:dyDescent="0.25">
      <c r="L96" s="33" cm="1">
        <f t="array" ref="L96">SUMPRODUCT(('Transaction Glossary'!F$5:F$999=D96)*('Transaction Glossary'!J$5:J$999))</f>
        <v>0</v>
      </c>
      <c r="M96" s="17" cm="1">
        <f t="array" ref="M96">SUMPRODUCT(('Transaction Glossary'!F$5:F$999=D96)*('Transaction Glossary'!K$5:K$999))</f>
        <v>0</v>
      </c>
      <c r="N96" s="17" cm="1">
        <f t="array" ref="N96">SUMPRODUCT(('Transaction Glossary'!F$5:F$999=D96)*('Transaction Glossary'!E$5:E$999="Dividend")*('Transaction Glossary'!K$5:K$999))</f>
        <v>0</v>
      </c>
      <c r="P96" s="17">
        <f t="shared" si="5"/>
        <v>0</v>
      </c>
      <c r="Q96" s="33">
        <f t="shared" si="6"/>
        <v>0</v>
      </c>
      <c r="R96" t="str">
        <f t="shared" si="7"/>
        <v/>
      </c>
      <c r="S96" s="26" t="str" cm="1">
        <f t="array" aca="1" ref="S96" ca="1">IFERROR(INDIRECT(D96&amp;"!R4"),"")</f>
        <v/>
      </c>
      <c r="V96" s="26"/>
    </row>
    <row r="97" spans="12:22" x14ac:dyDescent="0.25">
      <c r="L97" s="33" cm="1">
        <f t="array" ref="L97">SUMPRODUCT(('Transaction Glossary'!F$5:F$999=D97)*('Transaction Glossary'!J$5:J$999))</f>
        <v>0</v>
      </c>
      <c r="M97" s="17" cm="1">
        <f t="array" ref="M97">SUMPRODUCT(('Transaction Glossary'!F$5:F$999=D97)*('Transaction Glossary'!K$5:K$999))</f>
        <v>0</v>
      </c>
      <c r="N97" s="17" cm="1">
        <f t="array" ref="N97">SUMPRODUCT(('Transaction Glossary'!F$5:F$999=D97)*('Transaction Glossary'!E$5:E$999="Dividend")*('Transaction Glossary'!K$5:K$999))</f>
        <v>0</v>
      </c>
      <c r="P97" s="17">
        <f t="shared" si="5"/>
        <v>0</v>
      </c>
      <c r="Q97" s="33">
        <f t="shared" si="6"/>
        <v>0</v>
      </c>
      <c r="R97" t="str">
        <f t="shared" si="7"/>
        <v/>
      </c>
      <c r="S97" s="26" t="str" cm="1">
        <f t="array" aca="1" ref="S97" ca="1">IFERROR(INDIRECT(D97&amp;"!R4"),"")</f>
        <v/>
      </c>
      <c r="V97" s="26"/>
    </row>
    <row r="98" spans="12:22" x14ac:dyDescent="0.25">
      <c r="L98" s="33" cm="1">
        <f t="array" ref="L98">SUMPRODUCT(('Transaction Glossary'!F$5:F$999=D98)*('Transaction Glossary'!J$5:J$999))</f>
        <v>0</v>
      </c>
      <c r="M98" s="17" cm="1">
        <f t="array" ref="M98">SUMPRODUCT(('Transaction Glossary'!F$5:F$999=D98)*('Transaction Glossary'!K$5:K$999))</f>
        <v>0</v>
      </c>
      <c r="N98" s="17" cm="1">
        <f t="array" ref="N98">SUMPRODUCT(('Transaction Glossary'!F$5:F$999=D98)*('Transaction Glossary'!E$5:E$999="Dividend")*('Transaction Glossary'!K$5:K$999))</f>
        <v>0</v>
      </c>
      <c r="P98" s="17">
        <f t="shared" si="5"/>
        <v>0</v>
      </c>
      <c r="Q98" s="33">
        <f t="shared" si="6"/>
        <v>0</v>
      </c>
      <c r="R98" t="str">
        <f t="shared" si="7"/>
        <v/>
      </c>
      <c r="S98" s="26" t="str" cm="1">
        <f t="array" aca="1" ref="S98" ca="1">IFERROR(INDIRECT(D98&amp;"!R4"),"")</f>
        <v/>
      </c>
      <c r="V98" s="26"/>
    </row>
    <row r="99" spans="12:22" x14ac:dyDescent="0.25">
      <c r="L99" s="33" cm="1">
        <f t="array" ref="L99">SUMPRODUCT(('Transaction Glossary'!F$5:F$999=D99)*('Transaction Glossary'!J$5:J$999))</f>
        <v>0</v>
      </c>
      <c r="M99" s="17" cm="1">
        <f t="array" ref="M99">SUMPRODUCT(('Transaction Glossary'!F$5:F$999=D99)*('Transaction Glossary'!K$5:K$999))</f>
        <v>0</v>
      </c>
      <c r="N99" s="17" cm="1">
        <f t="array" ref="N99">SUMPRODUCT(('Transaction Glossary'!F$5:F$999=D99)*('Transaction Glossary'!E$5:E$999="Dividend")*('Transaction Glossary'!K$5:K$999))</f>
        <v>0</v>
      </c>
      <c r="P99" s="17">
        <f t="shared" si="5"/>
        <v>0</v>
      </c>
      <c r="Q99" s="33">
        <f t="shared" si="6"/>
        <v>0</v>
      </c>
      <c r="R99" t="str">
        <f t="shared" si="7"/>
        <v/>
      </c>
      <c r="S99" s="26" t="str" cm="1">
        <f t="array" aca="1" ref="S99" ca="1">IFERROR(INDIRECT(D99&amp;"!R4"),"")</f>
        <v/>
      </c>
      <c r="V99" s="26"/>
    </row>
    <row r="100" spans="12:22" x14ac:dyDescent="0.25">
      <c r="L100" s="33" cm="1">
        <f t="array" ref="L100">SUMPRODUCT(('Transaction Glossary'!F$5:F$999=D100)*('Transaction Glossary'!J$5:J$999))</f>
        <v>0</v>
      </c>
      <c r="M100" s="17" cm="1">
        <f t="array" ref="M100">SUMPRODUCT(('Transaction Glossary'!F$5:F$999=D100)*('Transaction Glossary'!K$5:K$999))</f>
        <v>0</v>
      </c>
      <c r="N100" s="17" cm="1">
        <f t="array" ref="N100">SUMPRODUCT(('Transaction Glossary'!F$5:F$999=D100)*('Transaction Glossary'!E$5:E$999="Dividend")*('Transaction Glossary'!K$5:K$999))</f>
        <v>0</v>
      </c>
      <c r="P100" s="17">
        <f t="shared" si="5"/>
        <v>0</v>
      </c>
      <c r="Q100" s="33">
        <f t="shared" si="6"/>
        <v>0</v>
      </c>
      <c r="R100" t="str">
        <f t="shared" si="7"/>
        <v/>
      </c>
      <c r="S100" s="26" t="str" cm="1">
        <f t="array" aca="1" ref="S100" ca="1">IFERROR(INDIRECT(D100&amp;"!R4"),"")</f>
        <v/>
      </c>
      <c r="V100" s="26"/>
    </row>
    <row r="101" spans="12:22" x14ac:dyDescent="0.25">
      <c r="L101" s="33" cm="1">
        <f t="array" ref="L101">SUMPRODUCT(('Transaction Glossary'!F$5:F$999=D101)*('Transaction Glossary'!J$5:J$999))</f>
        <v>0</v>
      </c>
      <c r="M101" s="17" cm="1">
        <f t="array" ref="M101">SUMPRODUCT(('Transaction Glossary'!F$5:F$999=D101)*('Transaction Glossary'!K$5:K$999))</f>
        <v>0</v>
      </c>
      <c r="N101" s="17" cm="1">
        <f t="array" ref="N101">SUMPRODUCT(('Transaction Glossary'!F$5:F$999=D101)*('Transaction Glossary'!E$5:E$999="Dividend")*('Transaction Glossary'!K$5:K$999))</f>
        <v>0</v>
      </c>
      <c r="P101" s="17">
        <f t="shared" si="5"/>
        <v>0</v>
      </c>
      <c r="Q101" s="33">
        <f t="shared" si="6"/>
        <v>0</v>
      </c>
      <c r="R101" t="str">
        <f t="shared" si="7"/>
        <v/>
      </c>
      <c r="S101" s="26" t="str" cm="1">
        <f t="array" aca="1" ref="S101" ca="1">IFERROR(INDIRECT(D101&amp;"!R4"),"")</f>
        <v/>
      </c>
      <c r="V101" s="26"/>
    </row>
    <row r="102" spans="12:22" x14ac:dyDescent="0.25">
      <c r="L102" s="33" cm="1">
        <f t="array" ref="L102">SUMPRODUCT(('Transaction Glossary'!F$5:F$999=D102)*('Transaction Glossary'!J$5:J$999))</f>
        <v>0</v>
      </c>
      <c r="M102" s="17" cm="1">
        <f t="array" ref="M102">SUMPRODUCT(('Transaction Glossary'!F$5:F$999=D102)*('Transaction Glossary'!K$5:K$999))</f>
        <v>0</v>
      </c>
      <c r="N102" s="17" cm="1">
        <f t="array" ref="N102">SUMPRODUCT(('Transaction Glossary'!F$5:F$999=D102)*('Transaction Glossary'!E$5:E$999="Dividend")*('Transaction Glossary'!K$5:K$999))</f>
        <v>0</v>
      </c>
      <c r="P102" s="17">
        <f t="shared" si="5"/>
        <v>0</v>
      </c>
      <c r="Q102" s="33">
        <f t="shared" si="6"/>
        <v>0</v>
      </c>
      <c r="R102" t="str">
        <f t="shared" si="7"/>
        <v/>
      </c>
      <c r="S102" s="26" t="str" cm="1">
        <f t="array" aca="1" ref="S102" ca="1">IFERROR(INDIRECT(D102&amp;"!R4"),"")</f>
        <v/>
      </c>
      <c r="V102" s="26"/>
    </row>
    <row r="103" spans="12:22" x14ac:dyDescent="0.25">
      <c r="L103" s="33" cm="1">
        <f t="array" ref="L103">SUMPRODUCT(('Transaction Glossary'!F$5:F$999=D103)*('Transaction Glossary'!J$5:J$999))</f>
        <v>0</v>
      </c>
      <c r="M103" s="17" cm="1">
        <f t="array" ref="M103">SUMPRODUCT(('Transaction Glossary'!F$5:F$999=D103)*('Transaction Glossary'!K$5:K$999))</f>
        <v>0</v>
      </c>
      <c r="N103" s="17" cm="1">
        <f t="array" ref="N103">SUMPRODUCT(('Transaction Glossary'!F$5:F$999=D103)*('Transaction Glossary'!E$5:E$999="Dividend")*('Transaction Glossary'!K$5:K$999))</f>
        <v>0</v>
      </c>
      <c r="P103" s="17">
        <f t="shared" si="5"/>
        <v>0</v>
      </c>
      <c r="Q103" s="33">
        <f t="shared" si="6"/>
        <v>0</v>
      </c>
      <c r="R103" t="str">
        <f t="shared" si="7"/>
        <v/>
      </c>
      <c r="S103" s="26" t="str" cm="1">
        <f t="array" aca="1" ref="S103" ca="1">IFERROR(INDIRECT(D103&amp;"!R4"),"")</f>
        <v/>
      </c>
      <c r="V103" s="26"/>
    </row>
    <row r="104" spans="12:22" x14ac:dyDescent="0.25">
      <c r="L104" s="33" cm="1">
        <f t="array" ref="L104">SUMPRODUCT(('Transaction Glossary'!F$5:F$999=D104)*('Transaction Glossary'!J$5:J$999))</f>
        <v>0</v>
      </c>
      <c r="M104" s="17" cm="1">
        <f t="array" ref="M104">SUMPRODUCT(('Transaction Glossary'!F$5:F$999=D104)*('Transaction Glossary'!K$5:K$999))</f>
        <v>0</v>
      </c>
      <c r="N104" s="17" cm="1">
        <f t="array" ref="N104">SUMPRODUCT(('Transaction Glossary'!F$5:F$999=D104)*('Transaction Glossary'!E$5:E$999="Dividend")*('Transaction Glossary'!K$5:K$999))</f>
        <v>0</v>
      </c>
      <c r="P104" s="17">
        <f t="shared" si="5"/>
        <v>0</v>
      </c>
      <c r="Q104" s="33">
        <f t="shared" si="6"/>
        <v>0</v>
      </c>
      <c r="R104" t="str">
        <f t="shared" si="7"/>
        <v/>
      </c>
      <c r="S104" s="26" t="str" cm="1">
        <f t="array" aca="1" ref="S104" ca="1">IFERROR(INDIRECT(D104&amp;"!R4"),"")</f>
        <v/>
      </c>
      <c r="V104" s="26"/>
    </row>
    <row r="105" spans="12:22" x14ac:dyDescent="0.25">
      <c r="L105" s="33" cm="1">
        <f t="array" ref="L105">SUMPRODUCT(('Transaction Glossary'!F$5:F$999=D105)*('Transaction Glossary'!J$5:J$999))</f>
        <v>0</v>
      </c>
      <c r="M105" s="17" cm="1">
        <f t="array" ref="M105">SUMPRODUCT(('Transaction Glossary'!F$5:F$999=D105)*('Transaction Glossary'!K$5:K$999))</f>
        <v>0</v>
      </c>
      <c r="N105" s="17" cm="1">
        <f t="array" ref="N105">SUMPRODUCT(('Transaction Glossary'!F$5:F$999=D105)*('Transaction Glossary'!E$5:E$999="Dividend")*('Transaction Glossary'!K$5:K$999))</f>
        <v>0</v>
      </c>
      <c r="P105" s="17">
        <f t="shared" si="5"/>
        <v>0</v>
      </c>
      <c r="Q105" s="33">
        <f t="shared" si="6"/>
        <v>0</v>
      </c>
      <c r="R105" t="str">
        <f t="shared" si="7"/>
        <v/>
      </c>
      <c r="S105" s="26" t="str" cm="1">
        <f t="array" aca="1" ref="S105" ca="1">IFERROR(INDIRECT(D105&amp;"!R4"),"")</f>
        <v/>
      </c>
      <c r="V105" s="26"/>
    </row>
    <row r="106" spans="12:22" x14ac:dyDescent="0.25">
      <c r="L106" s="33" cm="1">
        <f t="array" ref="L106">SUMPRODUCT(('Transaction Glossary'!F$5:F$999=D106)*('Transaction Glossary'!J$5:J$999))</f>
        <v>0</v>
      </c>
      <c r="M106" s="17" cm="1">
        <f t="array" ref="M106">SUMPRODUCT(('Transaction Glossary'!F$5:F$999=D106)*('Transaction Glossary'!K$5:K$999))</f>
        <v>0</v>
      </c>
      <c r="N106" s="17" cm="1">
        <f t="array" ref="N106">SUMPRODUCT(('Transaction Glossary'!F$5:F$999=D106)*('Transaction Glossary'!E$5:E$999="Dividend")*('Transaction Glossary'!K$5:K$999))</f>
        <v>0</v>
      </c>
      <c r="P106" s="17">
        <f t="shared" si="5"/>
        <v>0</v>
      </c>
      <c r="Q106" s="33">
        <f t="shared" si="6"/>
        <v>0</v>
      </c>
      <c r="R106" t="str">
        <f t="shared" si="7"/>
        <v/>
      </c>
      <c r="S106" s="26" t="str" cm="1">
        <f t="array" aca="1" ref="S106" ca="1">IFERROR(INDIRECT(D106&amp;"!R4"),"")</f>
        <v/>
      </c>
      <c r="V106" s="26"/>
    </row>
    <row r="107" spans="12:22" x14ac:dyDescent="0.25">
      <c r="L107" s="33" cm="1">
        <f t="array" ref="L107">SUMPRODUCT(('Transaction Glossary'!F$5:F$999=D107)*('Transaction Glossary'!J$5:J$999))</f>
        <v>0</v>
      </c>
      <c r="M107" s="17" cm="1">
        <f t="array" ref="M107">SUMPRODUCT(('Transaction Glossary'!F$5:F$999=D107)*('Transaction Glossary'!K$5:K$999))</f>
        <v>0</v>
      </c>
      <c r="N107" s="17" cm="1">
        <f t="array" ref="N107">SUMPRODUCT(('Transaction Glossary'!F$5:F$999=D107)*('Transaction Glossary'!E$5:E$999="Dividend")*('Transaction Glossary'!K$5:K$999))</f>
        <v>0</v>
      </c>
      <c r="P107" s="17">
        <f t="shared" si="5"/>
        <v>0</v>
      </c>
      <c r="Q107" s="33">
        <f t="shared" si="6"/>
        <v>0</v>
      </c>
      <c r="R107" t="str">
        <f t="shared" si="7"/>
        <v/>
      </c>
      <c r="S107" s="26" t="str" cm="1">
        <f t="array" aca="1" ref="S107" ca="1">IFERROR(INDIRECT(D107&amp;"!R4"),"")</f>
        <v/>
      </c>
      <c r="V107" s="26"/>
    </row>
    <row r="108" spans="12:22" x14ac:dyDescent="0.25">
      <c r="L108" s="33" cm="1">
        <f t="array" ref="L108">SUMPRODUCT(('Transaction Glossary'!F$5:F$999=D108)*('Transaction Glossary'!J$5:J$999))</f>
        <v>0</v>
      </c>
      <c r="M108" s="17" cm="1">
        <f t="array" ref="M108">SUMPRODUCT(('Transaction Glossary'!F$5:F$999=D108)*('Transaction Glossary'!K$5:K$999))</f>
        <v>0</v>
      </c>
      <c r="N108" s="17" cm="1">
        <f t="array" ref="N108">SUMPRODUCT(('Transaction Glossary'!F$5:F$999=D108)*('Transaction Glossary'!E$5:E$999="Dividend")*('Transaction Glossary'!K$5:K$999))</f>
        <v>0</v>
      </c>
      <c r="P108" s="17">
        <f t="shared" si="5"/>
        <v>0</v>
      </c>
      <c r="Q108" s="33">
        <f t="shared" si="6"/>
        <v>0</v>
      </c>
      <c r="R108" t="str">
        <f t="shared" si="7"/>
        <v/>
      </c>
      <c r="S108" s="26" t="str" cm="1">
        <f t="array" aca="1" ref="S108" ca="1">IFERROR(INDIRECT(D108&amp;"!R4"),"")</f>
        <v/>
      </c>
      <c r="V108" s="26"/>
    </row>
    <row r="109" spans="12:22" x14ac:dyDescent="0.25">
      <c r="L109" s="33" cm="1">
        <f t="array" ref="L109">SUMPRODUCT(('Transaction Glossary'!F$5:F$999=D109)*('Transaction Glossary'!J$5:J$999))</f>
        <v>0</v>
      </c>
      <c r="M109" s="17" cm="1">
        <f t="array" ref="M109">SUMPRODUCT(('Transaction Glossary'!F$5:F$999=D109)*('Transaction Glossary'!K$5:K$999))</f>
        <v>0</v>
      </c>
      <c r="N109" s="17" cm="1">
        <f t="array" ref="N109">SUMPRODUCT(('Transaction Glossary'!F$5:F$999=D109)*('Transaction Glossary'!E$5:E$999="Dividend")*('Transaction Glossary'!K$5:K$999))</f>
        <v>0</v>
      </c>
      <c r="P109" s="17">
        <f t="shared" si="5"/>
        <v>0</v>
      </c>
      <c r="Q109" s="33">
        <f t="shared" si="6"/>
        <v>0</v>
      </c>
      <c r="R109" t="str">
        <f t="shared" si="7"/>
        <v/>
      </c>
      <c r="S109" s="26" t="str" cm="1">
        <f t="array" aca="1" ref="S109" ca="1">IFERROR(INDIRECT(D109&amp;"!R4"),"")</f>
        <v/>
      </c>
      <c r="V109" s="26"/>
    </row>
    <row r="110" spans="12:22" x14ac:dyDescent="0.25">
      <c r="L110" s="33" cm="1">
        <f t="array" ref="L110">SUMPRODUCT(('Transaction Glossary'!F$5:F$999=D110)*('Transaction Glossary'!J$5:J$999))</f>
        <v>0</v>
      </c>
      <c r="M110" s="17" cm="1">
        <f t="array" ref="M110">SUMPRODUCT(('Transaction Glossary'!F$5:F$999=D110)*('Transaction Glossary'!K$5:K$999))</f>
        <v>0</v>
      </c>
      <c r="N110" s="17" cm="1">
        <f t="array" ref="N110">SUMPRODUCT(('Transaction Glossary'!F$5:F$999=D110)*('Transaction Glossary'!E$5:E$999="Dividend")*('Transaction Glossary'!K$5:K$999))</f>
        <v>0</v>
      </c>
      <c r="P110" s="17">
        <f t="shared" si="5"/>
        <v>0</v>
      </c>
      <c r="Q110" s="33">
        <f t="shared" si="6"/>
        <v>0</v>
      </c>
      <c r="R110" t="str">
        <f t="shared" si="7"/>
        <v/>
      </c>
      <c r="S110" s="26" t="str" cm="1">
        <f t="array" aca="1" ref="S110" ca="1">IFERROR(INDIRECT(D110&amp;"!R4"),"")</f>
        <v/>
      </c>
      <c r="V110" s="26"/>
    </row>
    <row r="111" spans="12:22" x14ac:dyDescent="0.25">
      <c r="L111" s="33" cm="1">
        <f t="array" ref="L111">SUMPRODUCT(('Transaction Glossary'!F$5:F$999=D111)*('Transaction Glossary'!J$5:J$999))</f>
        <v>0</v>
      </c>
      <c r="M111" s="17" cm="1">
        <f t="array" ref="M111">SUMPRODUCT(('Transaction Glossary'!F$5:F$999=D111)*('Transaction Glossary'!K$5:K$999))</f>
        <v>0</v>
      </c>
      <c r="N111" s="17" cm="1">
        <f t="array" ref="N111">SUMPRODUCT(('Transaction Glossary'!F$5:F$999=D111)*('Transaction Glossary'!E$5:E$999="Dividend")*('Transaction Glossary'!K$5:K$999))</f>
        <v>0</v>
      </c>
      <c r="P111" s="17">
        <f t="shared" si="5"/>
        <v>0</v>
      </c>
      <c r="Q111" s="33">
        <f t="shared" si="6"/>
        <v>0</v>
      </c>
      <c r="R111" t="str">
        <f t="shared" si="7"/>
        <v/>
      </c>
      <c r="S111" s="26" t="str" cm="1">
        <f t="array" aca="1" ref="S111" ca="1">IFERROR(INDIRECT(D111&amp;"!R4"),"")</f>
        <v/>
      </c>
      <c r="V111" s="26"/>
    </row>
    <row r="112" spans="12:22" x14ac:dyDescent="0.25">
      <c r="L112" s="33" cm="1">
        <f t="array" ref="L112">SUMPRODUCT(('Transaction Glossary'!F$5:F$999=D112)*('Transaction Glossary'!J$5:J$999))</f>
        <v>0</v>
      </c>
      <c r="M112" s="17" cm="1">
        <f t="array" ref="M112">SUMPRODUCT(('Transaction Glossary'!F$5:F$999=D112)*('Transaction Glossary'!K$5:K$999))</f>
        <v>0</v>
      </c>
      <c r="N112" s="17" cm="1">
        <f t="array" ref="N112">SUMPRODUCT(('Transaction Glossary'!F$5:F$999=D112)*('Transaction Glossary'!E$5:E$999="Dividend")*('Transaction Glossary'!K$5:K$999))</f>
        <v>0</v>
      </c>
      <c r="P112" s="17">
        <f t="shared" si="5"/>
        <v>0</v>
      </c>
      <c r="Q112" s="33">
        <f t="shared" si="6"/>
        <v>0</v>
      </c>
      <c r="R112" t="str">
        <f t="shared" si="7"/>
        <v/>
      </c>
      <c r="S112" s="26" t="str" cm="1">
        <f t="array" aca="1" ref="S112" ca="1">IFERROR(INDIRECT(D112&amp;"!R4"),"")</f>
        <v/>
      </c>
      <c r="V112" s="26"/>
    </row>
    <row r="113" spans="12:22" x14ac:dyDescent="0.25">
      <c r="L113" s="33" cm="1">
        <f t="array" ref="L113">SUMPRODUCT(('Transaction Glossary'!F$5:F$999=D113)*('Transaction Glossary'!J$5:J$999))</f>
        <v>0</v>
      </c>
      <c r="M113" s="17" cm="1">
        <f t="array" ref="M113">SUMPRODUCT(('Transaction Glossary'!F$5:F$999=D113)*('Transaction Glossary'!K$5:K$999))</f>
        <v>0</v>
      </c>
      <c r="N113" s="17" cm="1">
        <f t="array" ref="N113">SUMPRODUCT(('Transaction Glossary'!F$5:F$999=D113)*('Transaction Glossary'!E$5:E$999="Dividend")*('Transaction Glossary'!K$5:K$999))</f>
        <v>0</v>
      </c>
      <c r="P113" s="17">
        <f t="shared" si="5"/>
        <v>0</v>
      </c>
      <c r="Q113" s="33">
        <f t="shared" si="6"/>
        <v>0</v>
      </c>
      <c r="R113" t="str">
        <f t="shared" si="7"/>
        <v/>
      </c>
      <c r="S113" s="26" t="str" cm="1">
        <f t="array" aca="1" ref="S113" ca="1">IFERROR(INDIRECT(D113&amp;"!R4"),"")</f>
        <v/>
      </c>
      <c r="V113" s="26"/>
    </row>
    <row r="114" spans="12:22" x14ac:dyDescent="0.25">
      <c r="L114" s="33" cm="1">
        <f t="array" ref="L114">SUMPRODUCT(('Transaction Glossary'!F$5:F$999=D114)*('Transaction Glossary'!J$5:J$999))</f>
        <v>0</v>
      </c>
      <c r="M114" s="17" cm="1">
        <f t="array" ref="M114">SUMPRODUCT(('Transaction Glossary'!F$5:F$999=D114)*('Transaction Glossary'!K$5:K$999))</f>
        <v>0</v>
      </c>
      <c r="N114" s="17" cm="1">
        <f t="array" ref="N114">SUMPRODUCT(('Transaction Glossary'!F$5:F$999=D114)*('Transaction Glossary'!E$5:E$999="Dividend")*('Transaction Glossary'!K$5:K$999))</f>
        <v>0</v>
      </c>
      <c r="P114" s="17">
        <f t="shared" si="5"/>
        <v>0</v>
      </c>
      <c r="Q114" s="33">
        <f t="shared" si="6"/>
        <v>0</v>
      </c>
      <c r="R114" t="str">
        <f t="shared" si="7"/>
        <v/>
      </c>
      <c r="S114" s="26" t="str" cm="1">
        <f t="array" aca="1" ref="S114" ca="1">IFERROR(INDIRECT(D114&amp;"!R4"),"")</f>
        <v/>
      </c>
      <c r="V114" s="26"/>
    </row>
    <row r="115" spans="12:22" x14ac:dyDescent="0.25">
      <c r="L115" s="33" cm="1">
        <f t="array" ref="L115">SUMPRODUCT(('Transaction Glossary'!F$5:F$999=D115)*('Transaction Glossary'!J$5:J$999))</f>
        <v>0</v>
      </c>
      <c r="M115" s="17" cm="1">
        <f t="array" ref="M115">SUMPRODUCT(('Transaction Glossary'!F$5:F$999=D115)*('Transaction Glossary'!K$5:K$999))</f>
        <v>0</v>
      </c>
      <c r="N115" s="17" cm="1">
        <f t="array" ref="N115">SUMPRODUCT(('Transaction Glossary'!F$5:F$999=D115)*('Transaction Glossary'!E$5:E$999="Dividend")*('Transaction Glossary'!K$5:K$999))</f>
        <v>0</v>
      </c>
      <c r="P115" s="17">
        <f t="shared" si="5"/>
        <v>0</v>
      </c>
      <c r="Q115" s="33">
        <f t="shared" si="6"/>
        <v>0</v>
      </c>
      <c r="R115" t="str">
        <f t="shared" si="7"/>
        <v/>
      </c>
      <c r="S115" s="26" t="str" cm="1">
        <f t="array" aca="1" ref="S115" ca="1">IFERROR(INDIRECT(D115&amp;"!R4"),"")</f>
        <v/>
      </c>
      <c r="V115" s="26"/>
    </row>
    <row r="116" spans="12:22" x14ac:dyDescent="0.25">
      <c r="L116" s="33" cm="1">
        <f t="array" ref="L116">SUMPRODUCT(('Transaction Glossary'!F$5:F$999=D116)*('Transaction Glossary'!J$5:J$999))</f>
        <v>0</v>
      </c>
      <c r="M116" s="17" cm="1">
        <f t="array" ref="M116">SUMPRODUCT(('Transaction Glossary'!F$5:F$999=D116)*('Transaction Glossary'!K$5:K$999))</f>
        <v>0</v>
      </c>
      <c r="N116" s="17" cm="1">
        <f t="array" ref="N116">SUMPRODUCT(('Transaction Glossary'!F$5:F$999=D116)*('Transaction Glossary'!E$5:E$999="Dividend")*('Transaction Glossary'!K$5:K$999))</f>
        <v>0</v>
      </c>
      <c r="P116" s="17">
        <f t="shared" si="5"/>
        <v>0</v>
      </c>
      <c r="Q116" s="33">
        <f t="shared" si="6"/>
        <v>0</v>
      </c>
      <c r="R116" t="str">
        <f t="shared" si="7"/>
        <v/>
      </c>
      <c r="S116" s="26" t="str" cm="1">
        <f t="array" aca="1" ref="S116" ca="1">IFERROR(INDIRECT(D116&amp;"!R4"),"")</f>
        <v/>
      </c>
      <c r="V116" s="26"/>
    </row>
    <row r="117" spans="12:22" x14ac:dyDescent="0.25">
      <c r="L117" s="33" cm="1">
        <f t="array" ref="L117">SUMPRODUCT(('Transaction Glossary'!F$5:F$999=D117)*('Transaction Glossary'!J$5:J$999))</f>
        <v>0</v>
      </c>
      <c r="M117" s="17" cm="1">
        <f t="array" ref="M117">SUMPRODUCT(('Transaction Glossary'!F$5:F$999=D117)*('Transaction Glossary'!K$5:K$999))</f>
        <v>0</v>
      </c>
      <c r="N117" s="17" cm="1">
        <f t="array" ref="N117">SUMPRODUCT(('Transaction Glossary'!F$5:F$999=D117)*('Transaction Glossary'!E$5:E$999="Dividend")*('Transaction Glossary'!K$5:K$999))</f>
        <v>0</v>
      </c>
      <c r="P117" s="17">
        <f t="shared" si="5"/>
        <v>0</v>
      </c>
      <c r="Q117" s="33">
        <f t="shared" si="6"/>
        <v>0</v>
      </c>
      <c r="R117" t="str">
        <f t="shared" si="7"/>
        <v/>
      </c>
      <c r="S117" s="26" t="str" cm="1">
        <f t="array" aca="1" ref="S117" ca="1">IFERROR(INDIRECT(D117&amp;"!R4"),"")</f>
        <v/>
      </c>
      <c r="V117" s="26"/>
    </row>
    <row r="118" spans="12:22" x14ac:dyDescent="0.25">
      <c r="L118" s="33" cm="1">
        <f t="array" ref="L118">SUMPRODUCT(('Transaction Glossary'!F$5:F$999=D118)*('Transaction Glossary'!J$5:J$999))</f>
        <v>0</v>
      </c>
      <c r="M118" s="17" cm="1">
        <f t="array" ref="M118">SUMPRODUCT(('Transaction Glossary'!F$5:F$999=D118)*('Transaction Glossary'!K$5:K$999))</f>
        <v>0</v>
      </c>
      <c r="N118" s="17" cm="1">
        <f t="array" ref="N118">SUMPRODUCT(('Transaction Glossary'!F$5:F$999=D118)*('Transaction Glossary'!E$5:E$999="Dividend")*('Transaction Glossary'!K$5:K$999))</f>
        <v>0</v>
      </c>
      <c r="P118" s="17">
        <f t="shared" si="5"/>
        <v>0</v>
      </c>
      <c r="Q118" s="33">
        <f t="shared" si="6"/>
        <v>0</v>
      </c>
      <c r="R118" t="str">
        <f t="shared" si="7"/>
        <v/>
      </c>
      <c r="S118" s="26" t="str" cm="1">
        <f t="array" aca="1" ref="S118" ca="1">IFERROR(INDIRECT(D118&amp;"!R4"),"")</f>
        <v/>
      </c>
      <c r="V118" s="26"/>
    </row>
    <row r="119" spans="12:22" x14ac:dyDescent="0.25">
      <c r="L119" s="33" cm="1">
        <f t="array" ref="L119">SUMPRODUCT(('Transaction Glossary'!F$5:F$999=D119)*('Transaction Glossary'!J$5:J$999))</f>
        <v>0</v>
      </c>
      <c r="M119" s="17" cm="1">
        <f t="array" ref="M119">SUMPRODUCT(('Transaction Glossary'!F$5:F$999=D119)*('Transaction Glossary'!K$5:K$999))</f>
        <v>0</v>
      </c>
      <c r="N119" s="17" cm="1">
        <f t="array" ref="N119">SUMPRODUCT(('Transaction Glossary'!F$5:F$999=D119)*('Transaction Glossary'!E$5:E$999="Dividend")*('Transaction Glossary'!K$5:K$999))</f>
        <v>0</v>
      </c>
      <c r="P119" s="17">
        <f t="shared" si="5"/>
        <v>0</v>
      </c>
      <c r="Q119" s="33">
        <f t="shared" si="6"/>
        <v>0</v>
      </c>
      <c r="R119" t="str">
        <f t="shared" si="7"/>
        <v/>
      </c>
      <c r="S119" s="26" t="str" cm="1">
        <f t="array" aca="1" ref="S119" ca="1">IFERROR(INDIRECT(D119&amp;"!R4"),"")</f>
        <v/>
      </c>
      <c r="V119" s="26"/>
    </row>
    <row r="120" spans="12:22" x14ac:dyDescent="0.25">
      <c r="L120" s="33" cm="1">
        <f t="array" ref="L120">SUMPRODUCT(('Transaction Glossary'!F$5:F$999=D120)*('Transaction Glossary'!J$5:J$999))</f>
        <v>0</v>
      </c>
      <c r="M120" s="17" cm="1">
        <f t="array" ref="M120">SUMPRODUCT(('Transaction Glossary'!F$5:F$999=D120)*('Transaction Glossary'!K$5:K$999))</f>
        <v>0</v>
      </c>
      <c r="N120" s="17" cm="1">
        <f t="array" ref="N120">SUMPRODUCT(('Transaction Glossary'!F$5:F$999=D120)*('Transaction Glossary'!E$5:E$999="Dividend")*('Transaction Glossary'!K$5:K$999))</f>
        <v>0</v>
      </c>
      <c r="P120" s="17">
        <f t="shared" si="5"/>
        <v>0</v>
      </c>
      <c r="Q120" s="33">
        <f t="shared" si="6"/>
        <v>0</v>
      </c>
      <c r="R120" t="str">
        <f t="shared" si="7"/>
        <v/>
      </c>
      <c r="S120" s="26" t="str" cm="1">
        <f t="array" aca="1" ref="S120" ca="1">IFERROR(INDIRECT(D120&amp;"!R4"),"")</f>
        <v/>
      </c>
      <c r="V120" s="26"/>
    </row>
    <row r="121" spans="12:22" x14ac:dyDescent="0.25">
      <c r="L121" s="33" cm="1">
        <f t="array" ref="L121">SUMPRODUCT(('Transaction Glossary'!F$5:F$999=D121)*('Transaction Glossary'!J$5:J$999))</f>
        <v>0</v>
      </c>
      <c r="M121" s="17" cm="1">
        <f t="array" ref="M121">SUMPRODUCT(('Transaction Glossary'!F$5:F$999=D121)*('Transaction Glossary'!K$5:K$999))</f>
        <v>0</v>
      </c>
      <c r="N121" s="17" cm="1">
        <f t="array" ref="N121">SUMPRODUCT(('Transaction Glossary'!F$5:F$999=D121)*('Transaction Glossary'!E$5:E$999="Dividend")*('Transaction Glossary'!K$5:K$999))</f>
        <v>0</v>
      </c>
      <c r="P121" s="17">
        <f t="shared" si="5"/>
        <v>0</v>
      </c>
      <c r="Q121" s="33">
        <f t="shared" si="6"/>
        <v>0</v>
      </c>
      <c r="R121" t="str">
        <f t="shared" si="7"/>
        <v/>
      </c>
      <c r="S121" s="26" t="str" cm="1">
        <f t="array" aca="1" ref="S121" ca="1">IFERROR(INDIRECT(D121&amp;"!R4"),"")</f>
        <v/>
      </c>
      <c r="V121" s="26"/>
    </row>
    <row r="122" spans="12:22" x14ac:dyDescent="0.25">
      <c r="L122" s="33" cm="1">
        <f t="array" ref="L122">SUMPRODUCT(('Transaction Glossary'!F$5:F$999=D122)*('Transaction Glossary'!J$5:J$999))</f>
        <v>0</v>
      </c>
      <c r="M122" s="17" cm="1">
        <f t="array" ref="M122">SUMPRODUCT(('Transaction Glossary'!F$5:F$999=D122)*('Transaction Glossary'!K$5:K$999))</f>
        <v>0</v>
      </c>
      <c r="N122" s="17" cm="1">
        <f t="array" ref="N122">SUMPRODUCT(('Transaction Glossary'!F$5:F$999=D122)*('Transaction Glossary'!E$5:E$999="Dividend")*('Transaction Glossary'!K$5:K$999))</f>
        <v>0</v>
      </c>
      <c r="P122" s="17">
        <f t="shared" si="5"/>
        <v>0</v>
      </c>
      <c r="Q122" s="33">
        <f t="shared" si="6"/>
        <v>0</v>
      </c>
      <c r="R122" t="str">
        <f t="shared" si="7"/>
        <v/>
      </c>
      <c r="S122" s="26" t="str" cm="1">
        <f t="array" aca="1" ref="S122" ca="1">IFERROR(INDIRECT(D122&amp;"!R4"),"")</f>
        <v/>
      </c>
      <c r="V122" s="26"/>
    </row>
    <row r="123" spans="12:22" x14ac:dyDescent="0.25">
      <c r="L123" s="33" cm="1">
        <f t="array" ref="L123">SUMPRODUCT(('Transaction Glossary'!F$5:F$999=D123)*('Transaction Glossary'!J$5:J$999))</f>
        <v>0</v>
      </c>
      <c r="M123" s="17" cm="1">
        <f t="array" ref="M123">SUMPRODUCT(('Transaction Glossary'!F$5:F$999=D123)*('Transaction Glossary'!K$5:K$999))</f>
        <v>0</v>
      </c>
      <c r="N123" s="17" cm="1">
        <f t="array" ref="N123">SUMPRODUCT(('Transaction Glossary'!F$5:F$999=D123)*('Transaction Glossary'!E$5:E$999="Dividend")*('Transaction Glossary'!K$5:K$999))</f>
        <v>0</v>
      </c>
      <c r="P123" s="17">
        <f t="shared" si="5"/>
        <v>0</v>
      </c>
      <c r="Q123" s="33">
        <f t="shared" si="6"/>
        <v>0</v>
      </c>
      <c r="R123" t="str">
        <f t="shared" si="7"/>
        <v/>
      </c>
      <c r="S123" s="26" t="str" cm="1">
        <f t="array" aca="1" ref="S123" ca="1">IFERROR(INDIRECT(D123&amp;"!R4"),"")</f>
        <v/>
      </c>
      <c r="V123" s="26"/>
    </row>
    <row r="124" spans="12:22" x14ac:dyDescent="0.25">
      <c r="L124" s="33" cm="1">
        <f t="array" ref="L124">SUMPRODUCT(('Transaction Glossary'!F$5:F$999=D124)*('Transaction Glossary'!J$5:J$999))</f>
        <v>0</v>
      </c>
      <c r="M124" s="17" cm="1">
        <f t="array" ref="M124">SUMPRODUCT(('Transaction Glossary'!F$5:F$999=D124)*('Transaction Glossary'!K$5:K$999))</f>
        <v>0</v>
      </c>
      <c r="N124" s="17" cm="1">
        <f t="array" ref="N124">SUMPRODUCT(('Transaction Glossary'!F$5:F$999=D124)*('Transaction Glossary'!E$5:E$999="Dividend")*('Transaction Glossary'!K$5:K$999))</f>
        <v>0</v>
      </c>
      <c r="P124" s="17">
        <f t="shared" si="5"/>
        <v>0</v>
      </c>
      <c r="Q124" s="33">
        <f t="shared" si="6"/>
        <v>0</v>
      </c>
      <c r="R124" t="str">
        <f t="shared" si="7"/>
        <v/>
      </c>
      <c r="S124" s="26" t="str" cm="1">
        <f t="array" aca="1" ref="S124" ca="1">IFERROR(INDIRECT(D124&amp;"!R4"),"")</f>
        <v/>
      </c>
      <c r="V124" s="26"/>
    </row>
    <row r="125" spans="12:22" x14ac:dyDescent="0.25">
      <c r="L125" s="33" cm="1">
        <f t="array" ref="L125">SUMPRODUCT(('Transaction Glossary'!F$5:F$999=D125)*('Transaction Glossary'!J$5:J$999))</f>
        <v>0</v>
      </c>
      <c r="M125" s="17" cm="1">
        <f t="array" ref="M125">SUMPRODUCT(('Transaction Glossary'!F$5:F$999=D125)*('Transaction Glossary'!K$5:K$999))</f>
        <v>0</v>
      </c>
      <c r="N125" s="17" cm="1">
        <f t="array" ref="N125">SUMPRODUCT(('Transaction Glossary'!F$5:F$999=D125)*('Transaction Glossary'!E$5:E$999="Dividend")*('Transaction Glossary'!K$5:K$999))</f>
        <v>0</v>
      </c>
      <c r="P125" s="17">
        <f t="shared" si="5"/>
        <v>0</v>
      </c>
      <c r="Q125" s="33">
        <f t="shared" si="6"/>
        <v>0</v>
      </c>
      <c r="R125" t="str">
        <f t="shared" si="7"/>
        <v/>
      </c>
      <c r="S125" s="26" t="str" cm="1">
        <f t="array" aca="1" ref="S125" ca="1">IFERROR(INDIRECT(D125&amp;"!R4"),"")</f>
        <v/>
      </c>
      <c r="V125" s="26"/>
    </row>
    <row r="126" spans="12:22" x14ac:dyDescent="0.25">
      <c r="L126" s="33" cm="1">
        <f t="array" ref="L126">SUMPRODUCT(('Transaction Glossary'!F$5:F$999=D126)*('Transaction Glossary'!J$5:J$999))</f>
        <v>0</v>
      </c>
      <c r="M126" s="17" cm="1">
        <f t="array" ref="M126">SUMPRODUCT(('Transaction Glossary'!F$5:F$999=D126)*('Transaction Glossary'!K$5:K$999))</f>
        <v>0</v>
      </c>
      <c r="N126" s="17" cm="1">
        <f t="array" ref="N126">SUMPRODUCT(('Transaction Glossary'!F$5:F$999=D126)*('Transaction Glossary'!E$5:E$999="Dividend")*('Transaction Glossary'!K$5:K$999))</f>
        <v>0</v>
      </c>
      <c r="P126" s="17">
        <f t="shared" si="5"/>
        <v>0</v>
      </c>
      <c r="Q126" s="33">
        <f t="shared" si="6"/>
        <v>0</v>
      </c>
      <c r="R126" t="str">
        <f t="shared" si="7"/>
        <v/>
      </c>
      <c r="S126" s="26" t="str" cm="1">
        <f t="array" aca="1" ref="S126" ca="1">IFERROR(INDIRECT(D126&amp;"!R4"),"")</f>
        <v/>
      </c>
      <c r="V126" s="26"/>
    </row>
    <row r="127" spans="12:22" x14ac:dyDescent="0.25">
      <c r="L127" s="33" cm="1">
        <f t="array" ref="L127">SUMPRODUCT(('Transaction Glossary'!F$5:F$999=D127)*('Transaction Glossary'!J$5:J$999))</f>
        <v>0</v>
      </c>
      <c r="M127" s="17" cm="1">
        <f t="array" ref="M127">SUMPRODUCT(('Transaction Glossary'!F$5:F$999=D127)*('Transaction Glossary'!K$5:K$999))</f>
        <v>0</v>
      </c>
      <c r="N127" s="17" cm="1">
        <f t="array" ref="N127">SUMPRODUCT(('Transaction Glossary'!F$5:F$999=D127)*('Transaction Glossary'!E$5:E$999="Dividend")*('Transaction Glossary'!K$5:K$999))</f>
        <v>0</v>
      </c>
      <c r="P127" s="17">
        <f t="shared" si="5"/>
        <v>0</v>
      </c>
      <c r="Q127" s="33">
        <f t="shared" si="6"/>
        <v>0</v>
      </c>
      <c r="R127" t="str">
        <f t="shared" si="7"/>
        <v/>
      </c>
      <c r="S127" s="26" t="str" cm="1">
        <f t="array" aca="1" ref="S127" ca="1">IFERROR(INDIRECT(D127&amp;"!R4"),"")</f>
        <v/>
      </c>
      <c r="V127" s="26"/>
    </row>
    <row r="128" spans="12:22" x14ac:dyDescent="0.25">
      <c r="L128" s="33" cm="1">
        <f t="array" ref="L128">SUMPRODUCT(('Transaction Glossary'!F$5:F$999=D128)*('Transaction Glossary'!J$5:J$999))</f>
        <v>0</v>
      </c>
      <c r="M128" s="17" cm="1">
        <f t="array" ref="M128">SUMPRODUCT(('Transaction Glossary'!F$5:F$999=D128)*('Transaction Glossary'!K$5:K$999))</f>
        <v>0</v>
      </c>
      <c r="N128" s="17" cm="1">
        <f t="array" ref="N128">SUMPRODUCT(('Transaction Glossary'!F$5:F$999=D128)*('Transaction Glossary'!E$5:E$999="Dividend")*('Transaction Glossary'!K$5:K$999))</f>
        <v>0</v>
      </c>
      <c r="P128" s="17">
        <f t="shared" si="5"/>
        <v>0</v>
      </c>
      <c r="Q128" s="33">
        <f t="shared" si="6"/>
        <v>0</v>
      </c>
      <c r="R128" t="str">
        <f t="shared" si="7"/>
        <v/>
      </c>
      <c r="S128" s="26" t="str" cm="1">
        <f t="array" aca="1" ref="S128" ca="1">IFERROR(INDIRECT(D128&amp;"!R4"),"")</f>
        <v/>
      </c>
      <c r="V128" s="26"/>
    </row>
    <row r="129" spans="12:22" x14ac:dyDescent="0.25">
      <c r="L129" s="33" cm="1">
        <f t="array" ref="L129">SUMPRODUCT(('Transaction Glossary'!F$5:F$999=D129)*('Transaction Glossary'!J$5:J$999))</f>
        <v>0</v>
      </c>
      <c r="M129" s="17" cm="1">
        <f t="array" ref="M129">SUMPRODUCT(('Transaction Glossary'!F$5:F$999=D129)*('Transaction Glossary'!K$5:K$999))</f>
        <v>0</v>
      </c>
      <c r="N129" s="17" cm="1">
        <f t="array" ref="N129">SUMPRODUCT(('Transaction Glossary'!F$5:F$999=D129)*('Transaction Glossary'!E$5:E$999="Dividend")*('Transaction Glossary'!K$5:K$999))</f>
        <v>0</v>
      </c>
      <c r="P129" s="17">
        <f t="shared" si="5"/>
        <v>0</v>
      </c>
      <c r="Q129" s="33">
        <f t="shared" si="6"/>
        <v>0</v>
      </c>
      <c r="R129" t="str">
        <f t="shared" si="7"/>
        <v/>
      </c>
      <c r="S129" s="26" t="str" cm="1">
        <f t="array" aca="1" ref="S129" ca="1">IFERROR(INDIRECT(D129&amp;"!R4"),"")</f>
        <v/>
      </c>
      <c r="V129" s="26"/>
    </row>
    <row r="130" spans="12:22" x14ac:dyDescent="0.25">
      <c r="L130" s="33" cm="1">
        <f t="array" ref="L130">SUMPRODUCT(('Transaction Glossary'!F$5:F$999=D130)*('Transaction Glossary'!J$5:J$999))</f>
        <v>0</v>
      </c>
      <c r="M130" s="17" cm="1">
        <f t="array" ref="M130">SUMPRODUCT(('Transaction Glossary'!F$5:F$999=D130)*('Transaction Glossary'!K$5:K$999))</f>
        <v>0</v>
      </c>
      <c r="N130" s="17" cm="1">
        <f t="array" ref="N130">SUMPRODUCT(('Transaction Glossary'!F$5:F$999=D130)*('Transaction Glossary'!E$5:E$999="Dividend")*('Transaction Glossary'!K$5:K$999))</f>
        <v>0</v>
      </c>
      <c r="P130" s="17">
        <f t="shared" si="5"/>
        <v>0</v>
      </c>
      <c r="Q130" s="33">
        <f t="shared" si="6"/>
        <v>0</v>
      </c>
      <c r="R130" t="str">
        <f t="shared" si="7"/>
        <v/>
      </c>
      <c r="S130" s="26" t="str" cm="1">
        <f t="array" aca="1" ref="S130" ca="1">IFERROR(INDIRECT(D130&amp;"!R4"),"")</f>
        <v/>
      </c>
      <c r="V130" s="26"/>
    </row>
    <row r="131" spans="12:22" x14ac:dyDescent="0.25">
      <c r="L131" s="33" cm="1">
        <f t="array" ref="L131">SUMPRODUCT(('Transaction Glossary'!F$5:F$999=D131)*('Transaction Glossary'!J$5:J$999))</f>
        <v>0</v>
      </c>
      <c r="M131" s="17" cm="1">
        <f t="array" ref="M131">SUMPRODUCT(('Transaction Glossary'!F$5:F$999=D131)*('Transaction Glossary'!K$5:K$999))</f>
        <v>0</v>
      </c>
      <c r="N131" s="17" cm="1">
        <f t="array" ref="N131">SUMPRODUCT(('Transaction Glossary'!F$5:F$999=D131)*('Transaction Glossary'!E$5:E$999="Dividend")*('Transaction Glossary'!K$5:K$999))</f>
        <v>0</v>
      </c>
      <c r="P131" s="17">
        <f t="shared" si="5"/>
        <v>0</v>
      </c>
      <c r="Q131" s="33">
        <f t="shared" si="6"/>
        <v>0</v>
      </c>
      <c r="R131" t="str">
        <f t="shared" si="7"/>
        <v/>
      </c>
      <c r="S131" s="26" t="str" cm="1">
        <f t="array" aca="1" ref="S131" ca="1">IFERROR(INDIRECT(D131&amp;"!R4"),"")</f>
        <v/>
      </c>
      <c r="V131" s="26"/>
    </row>
    <row r="132" spans="12:22" x14ac:dyDescent="0.25">
      <c r="L132" s="33" cm="1">
        <f t="array" ref="L132">SUMPRODUCT(('Transaction Glossary'!F$5:F$999=D132)*('Transaction Glossary'!J$5:J$999))</f>
        <v>0</v>
      </c>
      <c r="M132" s="17" cm="1">
        <f t="array" ref="M132">SUMPRODUCT(('Transaction Glossary'!F$5:F$999=D132)*('Transaction Glossary'!K$5:K$999))</f>
        <v>0</v>
      </c>
      <c r="N132" s="17" cm="1">
        <f t="array" ref="N132">SUMPRODUCT(('Transaction Glossary'!F$5:F$999=D132)*('Transaction Glossary'!E$5:E$999="Dividend")*('Transaction Glossary'!K$5:K$999))</f>
        <v>0</v>
      </c>
      <c r="P132" s="17">
        <f t="shared" si="5"/>
        <v>0</v>
      </c>
      <c r="Q132" s="33">
        <f t="shared" si="6"/>
        <v>0</v>
      </c>
      <c r="R132" t="str">
        <f t="shared" si="7"/>
        <v/>
      </c>
      <c r="S132" s="26" t="str" cm="1">
        <f t="array" aca="1" ref="S132" ca="1">IFERROR(INDIRECT(D132&amp;"!R4"),"")</f>
        <v/>
      </c>
      <c r="V132" s="26"/>
    </row>
    <row r="133" spans="12:22" x14ac:dyDescent="0.25">
      <c r="L133" s="33" cm="1">
        <f t="array" ref="L133">SUMPRODUCT(('Transaction Glossary'!F$5:F$999=D133)*('Transaction Glossary'!J$5:J$999))</f>
        <v>0</v>
      </c>
      <c r="M133" s="17" cm="1">
        <f t="array" ref="M133">SUMPRODUCT(('Transaction Glossary'!F$5:F$999=D133)*('Transaction Glossary'!K$5:K$999))</f>
        <v>0</v>
      </c>
      <c r="N133" s="17" cm="1">
        <f t="array" ref="N133">SUMPRODUCT(('Transaction Glossary'!F$5:F$999=D133)*('Transaction Glossary'!E$5:E$999="Dividend")*('Transaction Glossary'!K$5:K$999))</f>
        <v>0</v>
      </c>
      <c r="P133" s="17">
        <f t="shared" ref="P133:P196" si="8">H133+M133</f>
        <v>0</v>
      </c>
      <c r="Q133" s="33">
        <f t="shared" ref="Q133:Q196" si="9">I133+L133</f>
        <v>0</v>
      </c>
      <c r="R133" t="str">
        <f t="shared" ref="R133:R196" si="10">IFERROR(P133/Q133, "")</f>
        <v/>
      </c>
      <c r="S133" s="26" t="str" cm="1">
        <f t="array" aca="1" ref="S133" ca="1">IFERROR(INDIRECT(D133&amp;"!R4"),"")</f>
        <v/>
      </c>
      <c r="V133" s="26"/>
    </row>
    <row r="134" spans="12:22" x14ac:dyDescent="0.25">
      <c r="L134" s="33" cm="1">
        <f t="array" ref="L134">SUMPRODUCT(('Transaction Glossary'!F$5:F$999=D134)*('Transaction Glossary'!J$5:J$999))</f>
        <v>0</v>
      </c>
      <c r="M134" s="17" cm="1">
        <f t="array" ref="M134">SUMPRODUCT(('Transaction Glossary'!F$5:F$999=D134)*('Transaction Glossary'!K$5:K$999))</f>
        <v>0</v>
      </c>
      <c r="N134" s="17" cm="1">
        <f t="array" ref="N134">SUMPRODUCT(('Transaction Glossary'!F$5:F$999=D134)*('Transaction Glossary'!E$5:E$999="Dividend")*('Transaction Glossary'!K$5:K$999))</f>
        <v>0</v>
      </c>
      <c r="P134" s="17">
        <f t="shared" si="8"/>
        <v>0</v>
      </c>
      <c r="Q134" s="33">
        <f t="shared" si="9"/>
        <v>0</v>
      </c>
      <c r="R134" t="str">
        <f t="shared" si="10"/>
        <v/>
      </c>
      <c r="S134" s="26" t="str" cm="1">
        <f t="array" aca="1" ref="S134" ca="1">IFERROR(INDIRECT(D134&amp;"!R4"),"")</f>
        <v/>
      </c>
      <c r="V134" s="26"/>
    </row>
    <row r="135" spans="12:22" x14ac:dyDescent="0.25">
      <c r="L135" s="33" cm="1">
        <f t="array" ref="L135">SUMPRODUCT(('Transaction Glossary'!F$5:F$999=D135)*('Transaction Glossary'!J$5:J$999))</f>
        <v>0</v>
      </c>
      <c r="M135" s="17" cm="1">
        <f t="array" ref="M135">SUMPRODUCT(('Transaction Glossary'!F$5:F$999=D135)*('Transaction Glossary'!K$5:K$999))</f>
        <v>0</v>
      </c>
      <c r="N135" s="17" cm="1">
        <f t="array" ref="N135">SUMPRODUCT(('Transaction Glossary'!F$5:F$999=D135)*('Transaction Glossary'!E$5:E$999="Dividend")*('Transaction Glossary'!K$5:K$999))</f>
        <v>0</v>
      </c>
      <c r="P135" s="17">
        <f t="shared" si="8"/>
        <v>0</v>
      </c>
      <c r="Q135" s="33">
        <f t="shared" si="9"/>
        <v>0</v>
      </c>
      <c r="R135" t="str">
        <f t="shared" si="10"/>
        <v/>
      </c>
      <c r="S135" s="26" t="str" cm="1">
        <f t="array" aca="1" ref="S135" ca="1">IFERROR(INDIRECT(D135&amp;"!R4"),"")</f>
        <v/>
      </c>
      <c r="V135" s="26"/>
    </row>
    <row r="136" spans="12:22" x14ac:dyDescent="0.25">
      <c r="L136" s="33" cm="1">
        <f t="array" ref="L136">SUMPRODUCT(('Transaction Glossary'!F$5:F$999=D136)*('Transaction Glossary'!J$5:J$999))</f>
        <v>0</v>
      </c>
      <c r="M136" s="17" cm="1">
        <f t="array" ref="M136">SUMPRODUCT(('Transaction Glossary'!F$5:F$999=D136)*('Transaction Glossary'!K$5:K$999))</f>
        <v>0</v>
      </c>
      <c r="N136" s="17" cm="1">
        <f t="array" ref="N136">SUMPRODUCT(('Transaction Glossary'!F$5:F$999=D136)*('Transaction Glossary'!E$5:E$999="Dividend")*('Transaction Glossary'!K$5:K$999))</f>
        <v>0</v>
      </c>
      <c r="P136" s="17">
        <f t="shared" si="8"/>
        <v>0</v>
      </c>
      <c r="Q136" s="33">
        <f t="shared" si="9"/>
        <v>0</v>
      </c>
      <c r="R136" t="str">
        <f t="shared" si="10"/>
        <v/>
      </c>
      <c r="S136" s="26" t="str" cm="1">
        <f t="array" aca="1" ref="S136" ca="1">IFERROR(INDIRECT(D136&amp;"!R4"),"")</f>
        <v/>
      </c>
      <c r="V136" s="26"/>
    </row>
    <row r="137" spans="12:22" x14ac:dyDescent="0.25">
      <c r="L137" s="33" cm="1">
        <f t="array" ref="L137">SUMPRODUCT(('Transaction Glossary'!F$5:F$999=D137)*('Transaction Glossary'!J$5:J$999))</f>
        <v>0</v>
      </c>
      <c r="M137" s="17" cm="1">
        <f t="array" ref="M137">SUMPRODUCT(('Transaction Glossary'!F$5:F$999=D137)*('Transaction Glossary'!K$5:K$999))</f>
        <v>0</v>
      </c>
      <c r="N137" s="17" cm="1">
        <f t="array" ref="N137">SUMPRODUCT(('Transaction Glossary'!F$5:F$999=D137)*('Transaction Glossary'!E$5:E$999="Dividend")*('Transaction Glossary'!K$5:K$999))</f>
        <v>0</v>
      </c>
      <c r="P137" s="17">
        <f t="shared" si="8"/>
        <v>0</v>
      </c>
      <c r="Q137" s="33">
        <f t="shared" si="9"/>
        <v>0</v>
      </c>
      <c r="R137" t="str">
        <f t="shared" si="10"/>
        <v/>
      </c>
      <c r="S137" s="26" t="str" cm="1">
        <f t="array" aca="1" ref="S137" ca="1">IFERROR(INDIRECT(D137&amp;"!R4"),"")</f>
        <v/>
      </c>
      <c r="V137" s="26"/>
    </row>
    <row r="138" spans="12:22" x14ac:dyDescent="0.25">
      <c r="L138" s="33" cm="1">
        <f t="array" ref="L138">SUMPRODUCT(('Transaction Glossary'!F$5:F$999=D138)*('Transaction Glossary'!J$5:J$999))</f>
        <v>0</v>
      </c>
      <c r="M138" s="17" cm="1">
        <f t="array" ref="M138">SUMPRODUCT(('Transaction Glossary'!F$5:F$999=D138)*('Transaction Glossary'!K$5:K$999))</f>
        <v>0</v>
      </c>
      <c r="N138" s="17" cm="1">
        <f t="array" ref="N138">SUMPRODUCT(('Transaction Glossary'!F$5:F$999=D138)*('Transaction Glossary'!E$5:E$999="Dividend")*('Transaction Glossary'!K$5:K$999))</f>
        <v>0</v>
      </c>
      <c r="P138" s="17">
        <f t="shared" si="8"/>
        <v>0</v>
      </c>
      <c r="Q138" s="33">
        <f t="shared" si="9"/>
        <v>0</v>
      </c>
      <c r="R138" t="str">
        <f t="shared" si="10"/>
        <v/>
      </c>
      <c r="S138" s="26" t="str" cm="1">
        <f t="array" aca="1" ref="S138" ca="1">IFERROR(INDIRECT(D138&amp;"!R4"),"")</f>
        <v/>
      </c>
      <c r="V138" s="26"/>
    </row>
    <row r="139" spans="12:22" x14ac:dyDescent="0.25">
      <c r="L139" s="33" cm="1">
        <f t="array" ref="L139">SUMPRODUCT(('Transaction Glossary'!F$5:F$999=D139)*('Transaction Glossary'!J$5:J$999))</f>
        <v>0</v>
      </c>
      <c r="M139" s="17" cm="1">
        <f t="array" ref="M139">SUMPRODUCT(('Transaction Glossary'!F$5:F$999=D139)*('Transaction Glossary'!K$5:K$999))</f>
        <v>0</v>
      </c>
      <c r="N139" s="17" cm="1">
        <f t="array" ref="N139">SUMPRODUCT(('Transaction Glossary'!F$5:F$999=D139)*('Transaction Glossary'!E$5:E$999="Dividend")*('Transaction Glossary'!K$5:K$999))</f>
        <v>0</v>
      </c>
      <c r="P139" s="17">
        <f t="shared" si="8"/>
        <v>0</v>
      </c>
      <c r="Q139" s="33">
        <f t="shared" si="9"/>
        <v>0</v>
      </c>
      <c r="R139" t="str">
        <f t="shared" si="10"/>
        <v/>
      </c>
      <c r="S139" s="26" t="str" cm="1">
        <f t="array" aca="1" ref="S139" ca="1">IFERROR(INDIRECT(D139&amp;"!R4"),"")</f>
        <v/>
      </c>
      <c r="V139" s="26"/>
    </row>
    <row r="140" spans="12:22" x14ac:dyDescent="0.25">
      <c r="L140" s="33" cm="1">
        <f t="array" ref="L140">SUMPRODUCT(('Transaction Glossary'!F$5:F$999=D140)*('Transaction Glossary'!J$5:J$999))</f>
        <v>0</v>
      </c>
      <c r="M140" s="17" cm="1">
        <f t="array" ref="M140">SUMPRODUCT(('Transaction Glossary'!F$5:F$999=D140)*('Transaction Glossary'!K$5:K$999))</f>
        <v>0</v>
      </c>
      <c r="N140" s="17" cm="1">
        <f t="array" ref="N140">SUMPRODUCT(('Transaction Glossary'!F$5:F$999=D140)*('Transaction Glossary'!E$5:E$999="Dividend")*('Transaction Glossary'!K$5:K$999))</f>
        <v>0</v>
      </c>
      <c r="P140" s="17">
        <f t="shared" si="8"/>
        <v>0</v>
      </c>
      <c r="Q140" s="33">
        <f t="shared" si="9"/>
        <v>0</v>
      </c>
      <c r="R140" t="str">
        <f t="shared" si="10"/>
        <v/>
      </c>
      <c r="S140" s="26" t="str" cm="1">
        <f t="array" aca="1" ref="S140" ca="1">IFERROR(INDIRECT(D140&amp;"!R4"),"")</f>
        <v/>
      </c>
      <c r="V140" s="26"/>
    </row>
    <row r="141" spans="12:22" x14ac:dyDescent="0.25">
      <c r="L141" s="33" cm="1">
        <f t="array" ref="L141">SUMPRODUCT(('Transaction Glossary'!F$5:F$999=D141)*('Transaction Glossary'!J$5:J$999))</f>
        <v>0</v>
      </c>
      <c r="M141" s="17" cm="1">
        <f t="array" ref="M141">SUMPRODUCT(('Transaction Glossary'!F$5:F$999=D141)*('Transaction Glossary'!K$5:K$999))</f>
        <v>0</v>
      </c>
      <c r="N141" s="17" cm="1">
        <f t="array" ref="N141">SUMPRODUCT(('Transaction Glossary'!F$5:F$999=D141)*('Transaction Glossary'!E$5:E$999="Dividend")*('Transaction Glossary'!K$5:K$999))</f>
        <v>0</v>
      </c>
      <c r="P141" s="17">
        <f t="shared" si="8"/>
        <v>0</v>
      </c>
      <c r="Q141" s="33">
        <f t="shared" si="9"/>
        <v>0</v>
      </c>
      <c r="R141" t="str">
        <f t="shared" si="10"/>
        <v/>
      </c>
      <c r="S141" s="26" t="str" cm="1">
        <f t="array" aca="1" ref="S141" ca="1">IFERROR(INDIRECT(D141&amp;"!R4"),"")</f>
        <v/>
      </c>
      <c r="V141" s="26"/>
    </row>
    <row r="142" spans="12:22" x14ac:dyDescent="0.25">
      <c r="L142" s="33" cm="1">
        <f t="array" ref="L142">SUMPRODUCT(('Transaction Glossary'!F$5:F$999=D142)*('Transaction Glossary'!J$5:J$999))</f>
        <v>0</v>
      </c>
      <c r="M142" s="17" cm="1">
        <f t="array" ref="M142">SUMPRODUCT(('Transaction Glossary'!F$5:F$999=D142)*('Transaction Glossary'!K$5:K$999))</f>
        <v>0</v>
      </c>
      <c r="N142" s="17" cm="1">
        <f t="array" ref="N142">SUMPRODUCT(('Transaction Glossary'!F$5:F$999=D142)*('Transaction Glossary'!E$5:E$999="Dividend")*('Transaction Glossary'!K$5:K$999))</f>
        <v>0</v>
      </c>
      <c r="P142" s="17">
        <f t="shared" si="8"/>
        <v>0</v>
      </c>
      <c r="Q142" s="33">
        <f t="shared" si="9"/>
        <v>0</v>
      </c>
      <c r="R142" t="str">
        <f t="shared" si="10"/>
        <v/>
      </c>
      <c r="S142" s="26" t="str" cm="1">
        <f t="array" aca="1" ref="S142" ca="1">IFERROR(INDIRECT(D142&amp;"!R4"),"")</f>
        <v/>
      </c>
      <c r="V142" s="26"/>
    </row>
    <row r="143" spans="12:22" x14ac:dyDescent="0.25">
      <c r="L143" s="33" cm="1">
        <f t="array" ref="L143">SUMPRODUCT(('Transaction Glossary'!F$5:F$999=D143)*('Transaction Glossary'!J$5:J$999))</f>
        <v>0</v>
      </c>
      <c r="M143" s="17" cm="1">
        <f t="array" ref="M143">SUMPRODUCT(('Transaction Glossary'!F$5:F$999=D143)*('Transaction Glossary'!K$5:K$999))</f>
        <v>0</v>
      </c>
      <c r="N143" s="17" cm="1">
        <f t="array" ref="N143">SUMPRODUCT(('Transaction Glossary'!F$5:F$999=D143)*('Transaction Glossary'!E$5:E$999="Dividend")*('Transaction Glossary'!K$5:K$999))</f>
        <v>0</v>
      </c>
      <c r="P143" s="17">
        <f t="shared" si="8"/>
        <v>0</v>
      </c>
      <c r="Q143" s="33">
        <f t="shared" si="9"/>
        <v>0</v>
      </c>
      <c r="R143" t="str">
        <f t="shared" si="10"/>
        <v/>
      </c>
      <c r="S143" s="26" t="str" cm="1">
        <f t="array" aca="1" ref="S143" ca="1">IFERROR(INDIRECT(D143&amp;"!R4"),"")</f>
        <v/>
      </c>
      <c r="V143" s="26"/>
    </row>
    <row r="144" spans="12:22" x14ac:dyDescent="0.25">
      <c r="L144" s="33" cm="1">
        <f t="array" ref="L144">SUMPRODUCT(('Transaction Glossary'!F$5:F$999=D144)*('Transaction Glossary'!J$5:J$999))</f>
        <v>0</v>
      </c>
      <c r="M144" s="17" cm="1">
        <f t="array" ref="M144">SUMPRODUCT(('Transaction Glossary'!F$5:F$999=D144)*('Transaction Glossary'!K$5:K$999))</f>
        <v>0</v>
      </c>
      <c r="N144" s="17" cm="1">
        <f t="array" ref="N144">SUMPRODUCT(('Transaction Glossary'!F$5:F$999=D144)*('Transaction Glossary'!E$5:E$999="Dividend")*('Transaction Glossary'!K$5:K$999))</f>
        <v>0</v>
      </c>
      <c r="P144" s="17">
        <f t="shared" si="8"/>
        <v>0</v>
      </c>
      <c r="Q144" s="33">
        <f t="shared" si="9"/>
        <v>0</v>
      </c>
      <c r="R144" t="str">
        <f t="shared" si="10"/>
        <v/>
      </c>
      <c r="S144" s="26" t="str" cm="1">
        <f t="array" aca="1" ref="S144" ca="1">IFERROR(INDIRECT(D144&amp;"!R4"),"")</f>
        <v/>
      </c>
      <c r="V144" s="26"/>
    </row>
    <row r="145" spans="12:22" x14ac:dyDescent="0.25">
      <c r="L145" s="33" cm="1">
        <f t="array" ref="L145">SUMPRODUCT(('Transaction Glossary'!F$5:F$999=D145)*('Transaction Glossary'!J$5:J$999))</f>
        <v>0</v>
      </c>
      <c r="M145" s="17" cm="1">
        <f t="array" ref="M145">SUMPRODUCT(('Transaction Glossary'!F$5:F$999=D145)*('Transaction Glossary'!K$5:K$999))</f>
        <v>0</v>
      </c>
      <c r="N145" s="17" cm="1">
        <f t="array" ref="N145">SUMPRODUCT(('Transaction Glossary'!F$5:F$999=D145)*('Transaction Glossary'!E$5:E$999="Dividend")*('Transaction Glossary'!K$5:K$999))</f>
        <v>0</v>
      </c>
      <c r="P145" s="17">
        <f t="shared" si="8"/>
        <v>0</v>
      </c>
      <c r="Q145" s="33">
        <f t="shared" si="9"/>
        <v>0</v>
      </c>
      <c r="R145" t="str">
        <f t="shared" si="10"/>
        <v/>
      </c>
      <c r="S145" s="26" t="str" cm="1">
        <f t="array" aca="1" ref="S145" ca="1">IFERROR(INDIRECT(D145&amp;"!R4"),"")</f>
        <v/>
      </c>
      <c r="V145" s="26"/>
    </row>
    <row r="146" spans="12:22" x14ac:dyDescent="0.25">
      <c r="L146" s="33" cm="1">
        <f t="array" ref="L146">SUMPRODUCT(('Transaction Glossary'!F$5:F$999=D146)*('Transaction Glossary'!J$5:J$999))</f>
        <v>0</v>
      </c>
      <c r="M146" s="17" cm="1">
        <f t="array" ref="M146">SUMPRODUCT(('Transaction Glossary'!F$5:F$999=D146)*('Transaction Glossary'!K$5:K$999))</f>
        <v>0</v>
      </c>
      <c r="N146" s="17" cm="1">
        <f t="array" ref="N146">SUMPRODUCT(('Transaction Glossary'!F$5:F$999=D146)*('Transaction Glossary'!E$5:E$999="Dividend")*('Transaction Glossary'!K$5:K$999))</f>
        <v>0</v>
      </c>
      <c r="P146" s="17">
        <f t="shared" si="8"/>
        <v>0</v>
      </c>
      <c r="Q146" s="33">
        <f t="shared" si="9"/>
        <v>0</v>
      </c>
      <c r="R146" t="str">
        <f t="shared" si="10"/>
        <v/>
      </c>
      <c r="S146" s="26" t="str" cm="1">
        <f t="array" aca="1" ref="S146" ca="1">IFERROR(INDIRECT(D146&amp;"!R4"),"")</f>
        <v/>
      </c>
      <c r="V146" s="26"/>
    </row>
    <row r="147" spans="12:22" x14ac:dyDescent="0.25">
      <c r="L147" s="33" cm="1">
        <f t="array" ref="L147">SUMPRODUCT(('Transaction Glossary'!F$5:F$999=D147)*('Transaction Glossary'!J$5:J$999))</f>
        <v>0</v>
      </c>
      <c r="M147" s="17" cm="1">
        <f t="array" ref="M147">SUMPRODUCT(('Transaction Glossary'!F$5:F$999=D147)*('Transaction Glossary'!K$5:K$999))</f>
        <v>0</v>
      </c>
      <c r="N147" s="17" cm="1">
        <f t="array" ref="N147">SUMPRODUCT(('Transaction Glossary'!F$5:F$999=D147)*('Transaction Glossary'!E$5:E$999="Dividend")*('Transaction Glossary'!K$5:K$999))</f>
        <v>0</v>
      </c>
      <c r="P147" s="17">
        <f t="shared" si="8"/>
        <v>0</v>
      </c>
      <c r="Q147" s="33">
        <f t="shared" si="9"/>
        <v>0</v>
      </c>
      <c r="R147" t="str">
        <f t="shared" si="10"/>
        <v/>
      </c>
      <c r="S147" s="26" t="str" cm="1">
        <f t="array" aca="1" ref="S147" ca="1">IFERROR(INDIRECT(D147&amp;"!R4"),"")</f>
        <v/>
      </c>
      <c r="V147" s="26"/>
    </row>
    <row r="148" spans="12:22" x14ac:dyDescent="0.25">
      <c r="L148" s="33" cm="1">
        <f t="array" ref="L148">SUMPRODUCT(('Transaction Glossary'!F$5:F$999=D148)*('Transaction Glossary'!J$5:J$999))</f>
        <v>0</v>
      </c>
      <c r="M148" s="17" cm="1">
        <f t="array" ref="M148">SUMPRODUCT(('Transaction Glossary'!F$5:F$999=D148)*('Transaction Glossary'!K$5:K$999))</f>
        <v>0</v>
      </c>
      <c r="N148" s="17" cm="1">
        <f t="array" ref="N148">SUMPRODUCT(('Transaction Glossary'!F$5:F$999=D148)*('Transaction Glossary'!E$5:E$999="Dividend")*('Transaction Glossary'!K$5:K$999))</f>
        <v>0</v>
      </c>
      <c r="P148" s="17">
        <f t="shared" si="8"/>
        <v>0</v>
      </c>
      <c r="Q148" s="33">
        <f t="shared" si="9"/>
        <v>0</v>
      </c>
      <c r="R148" t="str">
        <f t="shared" si="10"/>
        <v/>
      </c>
      <c r="S148" s="26" t="str" cm="1">
        <f t="array" aca="1" ref="S148" ca="1">IFERROR(INDIRECT(D148&amp;"!R4"),"")</f>
        <v/>
      </c>
      <c r="V148" s="26"/>
    </row>
    <row r="149" spans="12:22" x14ac:dyDescent="0.25">
      <c r="L149" s="33" cm="1">
        <f t="array" ref="L149">SUMPRODUCT(('Transaction Glossary'!F$5:F$999=D149)*('Transaction Glossary'!J$5:J$999))</f>
        <v>0</v>
      </c>
      <c r="M149" s="17" cm="1">
        <f t="array" ref="M149">SUMPRODUCT(('Transaction Glossary'!F$5:F$999=D149)*('Transaction Glossary'!K$5:K$999))</f>
        <v>0</v>
      </c>
      <c r="N149" s="17" cm="1">
        <f t="array" ref="N149">SUMPRODUCT(('Transaction Glossary'!F$5:F$999=D149)*('Transaction Glossary'!E$5:E$999="Dividend")*('Transaction Glossary'!K$5:K$999))</f>
        <v>0</v>
      </c>
      <c r="P149" s="17">
        <f t="shared" si="8"/>
        <v>0</v>
      </c>
      <c r="Q149" s="33">
        <f t="shared" si="9"/>
        <v>0</v>
      </c>
      <c r="R149" t="str">
        <f t="shared" si="10"/>
        <v/>
      </c>
      <c r="S149" s="26" t="str" cm="1">
        <f t="array" aca="1" ref="S149" ca="1">IFERROR(INDIRECT(D149&amp;"!R4"),"")</f>
        <v/>
      </c>
      <c r="V149" s="26"/>
    </row>
    <row r="150" spans="12:22" x14ac:dyDescent="0.25">
      <c r="L150" s="33" cm="1">
        <f t="array" ref="L150">SUMPRODUCT(('Transaction Glossary'!F$5:F$999=D150)*('Transaction Glossary'!J$5:J$999))</f>
        <v>0</v>
      </c>
      <c r="M150" s="17" cm="1">
        <f t="array" ref="M150">SUMPRODUCT(('Transaction Glossary'!F$5:F$999=D150)*('Transaction Glossary'!K$5:K$999))</f>
        <v>0</v>
      </c>
      <c r="N150" s="17" cm="1">
        <f t="array" ref="N150">SUMPRODUCT(('Transaction Glossary'!F$5:F$999=D150)*('Transaction Glossary'!E$5:E$999="Dividend")*('Transaction Glossary'!K$5:K$999))</f>
        <v>0</v>
      </c>
      <c r="P150" s="17">
        <f t="shared" si="8"/>
        <v>0</v>
      </c>
      <c r="Q150" s="33">
        <f t="shared" si="9"/>
        <v>0</v>
      </c>
      <c r="R150" t="str">
        <f t="shared" si="10"/>
        <v/>
      </c>
      <c r="S150" s="26" t="str" cm="1">
        <f t="array" aca="1" ref="S150" ca="1">IFERROR(INDIRECT(D150&amp;"!R4"),"")</f>
        <v/>
      </c>
      <c r="V150" s="26"/>
    </row>
    <row r="151" spans="12:22" x14ac:dyDescent="0.25">
      <c r="L151" s="33" cm="1">
        <f t="array" ref="L151">SUMPRODUCT(('Transaction Glossary'!F$5:F$999=D151)*('Transaction Glossary'!J$5:J$999))</f>
        <v>0</v>
      </c>
      <c r="M151" s="17" cm="1">
        <f t="array" ref="M151">SUMPRODUCT(('Transaction Glossary'!F$5:F$999=D151)*('Transaction Glossary'!K$5:K$999))</f>
        <v>0</v>
      </c>
      <c r="N151" s="17" cm="1">
        <f t="array" ref="N151">SUMPRODUCT(('Transaction Glossary'!F$5:F$999=D151)*('Transaction Glossary'!E$5:E$999="Dividend")*('Transaction Glossary'!K$5:K$999))</f>
        <v>0</v>
      </c>
      <c r="P151" s="17">
        <f t="shared" si="8"/>
        <v>0</v>
      </c>
      <c r="Q151" s="33">
        <f t="shared" si="9"/>
        <v>0</v>
      </c>
      <c r="R151" t="str">
        <f t="shared" si="10"/>
        <v/>
      </c>
      <c r="S151" s="26" t="str" cm="1">
        <f t="array" aca="1" ref="S151" ca="1">IFERROR(INDIRECT(D151&amp;"!R4"),"")</f>
        <v/>
      </c>
      <c r="V151" s="26"/>
    </row>
    <row r="152" spans="12:22" x14ac:dyDescent="0.25">
      <c r="L152" s="33" cm="1">
        <f t="array" ref="L152">SUMPRODUCT(('Transaction Glossary'!F$5:F$999=D152)*('Transaction Glossary'!J$5:J$999))</f>
        <v>0</v>
      </c>
      <c r="M152" s="17" cm="1">
        <f t="array" ref="M152">SUMPRODUCT(('Transaction Glossary'!F$5:F$999=D152)*('Transaction Glossary'!K$5:K$999))</f>
        <v>0</v>
      </c>
      <c r="N152" s="17" cm="1">
        <f t="array" ref="N152">SUMPRODUCT(('Transaction Glossary'!F$5:F$999=D152)*('Transaction Glossary'!E$5:E$999="Dividend")*('Transaction Glossary'!K$5:K$999))</f>
        <v>0</v>
      </c>
      <c r="P152" s="17">
        <f t="shared" si="8"/>
        <v>0</v>
      </c>
      <c r="Q152" s="33">
        <f t="shared" si="9"/>
        <v>0</v>
      </c>
      <c r="R152" t="str">
        <f t="shared" si="10"/>
        <v/>
      </c>
      <c r="S152" s="26" t="str" cm="1">
        <f t="array" aca="1" ref="S152" ca="1">IFERROR(INDIRECT(D152&amp;"!R4"),"")</f>
        <v/>
      </c>
      <c r="V152" s="26"/>
    </row>
    <row r="153" spans="12:22" x14ac:dyDescent="0.25">
      <c r="L153" s="33" cm="1">
        <f t="array" ref="L153">SUMPRODUCT(('Transaction Glossary'!F$5:F$999=D153)*('Transaction Glossary'!J$5:J$999))</f>
        <v>0</v>
      </c>
      <c r="M153" s="17" cm="1">
        <f t="array" ref="M153">SUMPRODUCT(('Transaction Glossary'!F$5:F$999=D153)*('Transaction Glossary'!K$5:K$999))</f>
        <v>0</v>
      </c>
      <c r="N153" s="17" cm="1">
        <f t="array" ref="N153">SUMPRODUCT(('Transaction Glossary'!F$5:F$999=D153)*('Transaction Glossary'!E$5:E$999="Dividend")*('Transaction Glossary'!K$5:K$999))</f>
        <v>0</v>
      </c>
      <c r="P153" s="17">
        <f t="shared" si="8"/>
        <v>0</v>
      </c>
      <c r="Q153" s="33">
        <f t="shared" si="9"/>
        <v>0</v>
      </c>
      <c r="R153" t="str">
        <f t="shared" si="10"/>
        <v/>
      </c>
      <c r="S153" s="26" t="str" cm="1">
        <f t="array" aca="1" ref="S153" ca="1">IFERROR(INDIRECT(D153&amp;"!R4"),"")</f>
        <v/>
      </c>
      <c r="V153" s="26"/>
    </row>
    <row r="154" spans="12:22" x14ac:dyDescent="0.25">
      <c r="L154" s="33" cm="1">
        <f t="array" ref="L154">SUMPRODUCT(('Transaction Glossary'!F$5:F$999=D154)*('Transaction Glossary'!J$5:J$999))</f>
        <v>0</v>
      </c>
      <c r="M154" s="17" cm="1">
        <f t="array" ref="M154">SUMPRODUCT(('Transaction Glossary'!F$5:F$999=D154)*('Transaction Glossary'!K$5:K$999))</f>
        <v>0</v>
      </c>
      <c r="N154" s="17" cm="1">
        <f t="array" ref="N154">SUMPRODUCT(('Transaction Glossary'!F$5:F$999=D154)*('Transaction Glossary'!E$5:E$999="Dividend")*('Transaction Glossary'!K$5:K$999))</f>
        <v>0</v>
      </c>
      <c r="P154" s="17">
        <f t="shared" si="8"/>
        <v>0</v>
      </c>
      <c r="Q154" s="33">
        <f t="shared" si="9"/>
        <v>0</v>
      </c>
      <c r="R154" t="str">
        <f t="shared" si="10"/>
        <v/>
      </c>
      <c r="S154" s="26" t="str" cm="1">
        <f t="array" aca="1" ref="S154" ca="1">IFERROR(INDIRECT(D154&amp;"!R4"),"")</f>
        <v/>
      </c>
      <c r="V154" s="26"/>
    </row>
    <row r="155" spans="12:22" x14ac:dyDescent="0.25">
      <c r="L155" s="33" cm="1">
        <f t="array" ref="L155">SUMPRODUCT(('Transaction Glossary'!F$5:F$999=D155)*('Transaction Glossary'!J$5:J$999))</f>
        <v>0</v>
      </c>
      <c r="M155" s="17" cm="1">
        <f t="array" ref="M155">SUMPRODUCT(('Transaction Glossary'!F$5:F$999=D155)*('Transaction Glossary'!K$5:K$999))</f>
        <v>0</v>
      </c>
      <c r="N155" s="17" cm="1">
        <f t="array" ref="N155">SUMPRODUCT(('Transaction Glossary'!F$5:F$999=D155)*('Transaction Glossary'!E$5:E$999="Dividend")*('Transaction Glossary'!K$5:K$999))</f>
        <v>0</v>
      </c>
      <c r="P155" s="17">
        <f t="shared" si="8"/>
        <v>0</v>
      </c>
      <c r="Q155" s="33">
        <f t="shared" si="9"/>
        <v>0</v>
      </c>
      <c r="R155" t="str">
        <f t="shared" si="10"/>
        <v/>
      </c>
      <c r="S155" s="26" t="str" cm="1">
        <f t="array" aca="1" ref="S155" ca="1">IFERROR(INDIRECT(D155&amp;"!R4"),"")</f>
        <v/>
      </c>
      <c r="V155" s="26"/>
    </row>
    <row r="156" spans="12:22" x14ac:dyDescent="0.25">
      <c r="L156" s="33" cm="1">
        <f t="array" ref="L156">SUMPRODUCT(('Transaction Glossary'!F$5:F$999=D156)*('Transaction Glossary'!J$5:J$999))</f>
        <v>0</v>
      </c>
      <c r="M156" s="17" cm="1">
        <f t="array" ref="M156">SUMPRODUCT(('Transaction Glossary'!F$5:F$999=D156)*('Transaction Glossary'!K$5:K$999))</f>
        <v>0</v>
      </c>
      <c r="N156" s="17" cm="1">
        <f t="array" ref="N156">SUMPRODUCT(('Transaction Glossary'!F$5:F$999=D156)*('Transaction Glossary'!E$5:E$999="Dividend")*('Transaction Glossary'!K$5:K$999))</f>
        <v>0</v>
      </c>
      <c r="P156" s="17">
        <f t="shared" si="8"/>
        <v>0</v>
      </c>
      <c r="Q156" s="33">
        <f t="shared" si="9"/>
        <v>0</v>
      </c>
      <c r="R156" t="str">
        <f t="shared" si="10"/>
        <v/>
      </c>
      <c r="S156" s="26" t="str" cm="1">
        <f t="array" aca="1" ref="S156" ca="1">IFERROR(INDIRECT(D156&amp;"!R4"),"")</f>
        <v/>
      </c>
      <c r="V156" s="26"/>
    </row>
    <row r="157" spans="12:22" x14ac:dyDescent="0.25">
      <c r="L157" s="33" cm="1">
        <f t="array" ref="L157">SUMPRODUCT(('Transaction Glossary'!F$5:F$999=D157)*('Transaction Glossary'!J$5:J$999))</f>
        <v>0</v>
      </c>
      <c r="M157" s="17" cm="1">
        <f t="array" ref="M157">SUMPRODUCT(('Transaction Glossary'!F$5:F$999=D157)*('Transaction Glossary'!K$5:K$999))</f>
        <v>0</v>
      </c>
      <c r="N157" s="17" cm="1">
        <f t="array" ref="N157">SUMPRODUCT(('Transaction Glossary'!F$5:F$999=D157)*('Transaction Glossary'!E$5:E$999="Dividend")*('Transaction Glossary'!K$5:K$999))</f>
        <v>0</v>
      </c>
      <c r="P157" s="17">
        <f t="shared" si="8"/>
        <v>0</v>
      </c>
      <c r="Q157" s="33">
        <f t="shared" si="9"/>
        <v>0</v>
      </c>
      <c r="R157" t="str">
        <f t="shared" si="10"/>
        <v/>
      </c>
      <c r="S157" s="26" t="str" cm="1">
        <f t="array" aca="1" ref="S157" ca="1">IFERROR(INDIRECT(D157&amp;"!R4"),"")</f>
        <v/>
      </c>
      <c r="V157" s="26"/>
    </row>
    <row r="158" spans="12:22" x14ac:dyDescent="0.25">
      <c r="L158" s="33" cm="1">
        <f t="array" ref="L158">SUMPRODUCT(('Transaction Glossary'!F$5:F$999=D158)*('Transaction Glossary'!J$5:J$999))</f>
        <v>0</v>
      </c>
      <c r="M158" s="17" cm="1">
        <f t="array" ref="M158">SUMPRODUCT(('Transaction Glossary'!F$5:F$999=D158)*('Transaction Glossary'!K$5:K$999))</f>
        <v>0</v>
      </c>
      <c r="N158" s="17" cm="1">
        <f t="array" ref="N158">SUMPRODUCT(('Transaction Glossary'!F$5:F$999=D158)*('Transaction Glossary'!E$5:E$999="Dividend")*('Transaction Glossary'!K$5:K$999))</f>
        <v>0</v>
      </c>
      <c r="P158" s="17">
        <f t="shared" si="8"/>
        <v>0</v>
      </c>
      <c r="Q158" s="33">
        <f t="shared" si="9"/>
        <v>0</v>
      </c>
      <c r="R158" t="str">
        <f t="shared" si="10"/>
        <v/>
      </c>
      <c r="S158" s="26" t="str" cm="1">
        <f t="array" aca="1" ref="S158" ca="1">IFERROR(INDIRECT(D158&amp;"!R4"),"")</f>
        <v/>
      </c>
      <c r="V158" s="26"/>
    </row>
    <row r="159" spans="12:22" x14ac:dyDescent="0.25">
      <c r="L159" s="33" cm="1">
        <f t="array" ref="L159">SUMPRODUCT(('Transaction Glossary'!F$5:F$999=D159)*('Transaction Glossary'!J$5:J$999))</f>
        <v>0</v>
      </c>
      <c r="M159" s="17" cm="1">
        <f t="array" ref="M159">SUMPRODUCT(('Transaction Glossary'!F$5:F$999=D159)*('Transaction Glossary'!K$5:K$999))</f>
        <v>0</v>
      </c>
      <c r="N159" s="17" cm="1">
        <f t="array" ref="N159">SUMPRODUCT(('Transaction Glossary'!F$5:F$999=D159)*('Transaction Glossary'!E$5:E$999="Dividend")*('Transaction Glossary'!K$5:K$999))</f>
        <v>0</v>
      </c>
      <c r="P159" s="17">
        <f t="shared" si="8"/>
        <v>0</v>
      </c>
      <c r="Q159" s="33">
        <f t="shared" si="9"/>
        <v>0</v>
      </c>
      <c r="R159" t="str">
        <f t="shared" si="10"/>
        <v/>
      </c>
      <c r="S159" s="26" t="str" cm="1">
        <f t="array" aca="1" ref="S159" ca="1">IFERROR(INDIRECT(D159&amp;"!R4"),"")</f>
        <v/>
      </c>
      <c r="V159" s="26"/>
    </row>
    <row r="160" spans="12:22" x14ac:dyDescent="0.25">
      <c r="L160" s="33" cm="1">
        <f t="array" ref="L160">SUMPRODUCT(('Transaction Glossary'!F$5:F$999=D160)*('Transaction Glossary'!J$5:J$999))</f>
        <v>0</v>
      </c>
      <c r="M160" s="17" cm="1">
        <f t="array" ref="M160">SUMPRODUCT(('Transaction Glossary'!F$5:F$999=D160)*('Transaction Glossary'!K$5:K$999))</f>
        <v>0</v>
      </c>
      <c r="N160" s="17" cm="1">
        <f t="array" ref="N160">SUMPRODUCT(('Transaction Glossary'!F$5:F$999=D160)*('Transaction Glossary'!E$5:E$999="Dividend")*('Transaction Glossary'!K$5:K$999))</f>
        <v>0</v>
      </c>
      <c r="P160" s="17">
        <f t="shared" si="8"/>
        <v>0</v>
      </c>
      <c r="Q160" s="33">
        <f t="shared" si="9"/>
        <v>0</v>
      </c>
      <c r="R160" t="str">
        <f t="shared" si="10"/>
        <v/>
      </c>
      <c r="S160" s="26" t="str" cm="1">
        <f t="array" aca="1" ref="S160" ca="1">IFERROR(INDIRECT(D160&amp;"!R4"),"")</f>
        <v/>
      </c>
      <c r="V160" s="26"/>
    </row>
    <row r="161" spans="12:22" x14ac:dyDescent="0.25">
      <c r="L161" s="33" cm="1">
        <f t="array" ref="L161">SUMPRODUCT(('Transaction Glossary'!F$5:F$999=D161)*('Transaction Glossary'!J$5:J$999))</f>
        <v>0</v>
      </c>
      <c r="M161" s="17" cm="1">
        <f t="array" ref="M161">SUMPRODUCT(('Transaction Glossary'!F$5:F$999=D161)*('Transaction Glossary'!K$5:K$999))</f>
        <v>0</v>
      </c>
      <c r="N161" s="17" cm="1">
        <f t="array" ref="N161">SUMPRODUCT(('Transaction Glossary'!F$5:F$999=D161)*('Transaction Glossary'!E$5:E$999="Dividend")*('Transaction Glossary'!K$5:K$999))</f>
        <v>0</v>
      </c>
      <c r="P161" s="17">
        <f t="shared" si="8"/>
        <v>0</v>
      </c>
      <c r="Q161" s="33">
        <f t="shared" si="9"/>
        <v>0</v>
      </c>
      <c r="R161" t="str">
        <f t="shared" si="10"/>
        <v/>
      </c>
      <c r="S161" s="26" t="str" cm="1">
        <f t="array" aca="1" ref="S161" ca="1">IFERROR(INDIRECT(D161&amp;"!R4"),"")</f>
        <v/>
      </c>
      <c r="V161" s="26"/>
    </row>
    <row r="162" spans="12:22" x14ac:dyDescent="0.25">
      <c r="L162" s="33" cm="1">
        <f t="array" ref="L162">SUMPRODUCT(('Transaction Glossary'!F$5:F$999=D162)*('Transaction Glossary'!J$5:J$999))</f>
        <v>0</v>
      </c>
      <c r="M162" s="17" cm="1">
        <f t="array" ref="M162">SUMPRODUCT(('Transaction Glossary'!F$5:F$999=D162)*('Transaction Glossary'!K$5:K$999))</f>
        <v>0</v>
      </c>
      <c r="N162" s="17" cm="1">
        <f t="array" ref="N162">SUMPRODUCT(('Transaction Glossary'!F$5:F$999=D162)*('Transaction Glossary'!E$5:E$999="Dividend")*('Transaction Glossary'!K$5:K$999))</f>
        <v>0</v>
      </c>
      <c r="P162" s="17">
        <f t="shared" si="8"/>
        <v>0</v>
      </c>
      <c r="Q162" s="33">
        <f t="shared" si="9"/>
        <v>0</v>
      </c>
      <c r="R162" t="str">
        <f t="shared" si="10"/>
        <v/>
      </c>
      <c r="S162" s="26" t="str" cm="1">
        <f t="array" aca="1" ref="S162" ca="1">IFERROR(INDIRECT(D162&amp;"!R4"),"")</f>
        <v/>
      </c>
      <c r="V162" s="26"/>
    </row>
    <row r="163" spans="12:22" x14ac:dyDescent="0.25">
      <c r="L163" s="33" cm="1">
        <f t="array" ref="L163">SUMPRODUCT(('Transaction Glossary'!F$5:F$999=D163)*('Transaction Glossary'!J$5:J$999))</f>
        <v>0</v>
      </c>
      <c r="M163" s="17" cm="1">
        <f t="array" ref="M163">SUMPRODUCT(('Transaction Glossary'!F$5:F$999=D163)*('Transaction Glossary'!K$5:K$999))</f>
        <v>0</v>
      </c>
      <c r="N163" s="17" cm="1">
        <f t="array" ref="N163">SUMPRODUCT(('Transaction Glossary'!F$5:F$999=D163)*('Transaction Glossary'!E$5:E$999="Dividend")*('Transaction Glossary'!K$5:K$999))</f>
        <v>0</v>
      </c>
      <c r="P163" s="17">
        <f t="shared" si="8"/>
        <v>0</v>
      </c>
      <c r="Q163" s="33">
        <f t="shared" si="9"/>
        <v>0</v>
      </c>
      <c r="R163" t="str">
        <f t="shared" si="10"/>
        <v/>
      </c>
      <c r="S163" s="26" t="str" cm="1">
        <f t="array" aca="1" ref="S163" ca="1">IFERROR(INDIRECT(D163&amp;"!R4"),"")</f>
        <v/>
      </c>
      <c r="V163" s="26"/>
    </row>
    <row r="164" spans="12:22" x14ac:dyDescent="0.25">
      <c r="L164" s="33" cm="1">
        <f t="array" ref="L164">SUMPRODUCT(('Transaction Glossary'!F$5:F$999=D164)*('Transaction Glossary'!J$5:J$999))</f>
        <v>0</v>
      </c>
      <c r="M164" s="17" cm="1">
        <f t="array" ref="M164">SUMPRODUCT(('Transaction Glossary'!F$5:F$999=D164)*('Transaction Glossary'!K$5:K$999))</f>
        <v>0</v>
      </c>
      <c r="N164" s="17" cm="1">
        <f t="array" ref="N164">SUMPRODUCT(('Transaction Glossary'!F$5:F$999=D164)*('Transaction Glossary'!E$5:E$999="Dividend")*('Transaction Glossary'!K$5:K$999))</f>
        <v>0</v>
      </c>
      <c r="P164" s="17">
        <f t="shared" si="8"/>
        <v>0</v>
      </c>
      <c r="Q164" s="33">
        <f t="shared" si="9"/>
        <v>0</v>
      </c>
      <c r="R164" t="str">
        <f t="shared" si="10"/>
        <v/>
      </c>
      <c r="S164" s="26" t="str" cm="1">
        <f t="array" aca="1" ref="S164" ca="1">IFERROR(INDIRECT(D164&amp;"!R4"),"")</f>
        <v/>
      </c>
      <c r="V164" s="26"/>
    </row>
    <row r="165" spans="12:22" x14ac:dyDescent="0.25">
      <c r="L165" s="33" cm="1">
        <f t="array" ref="L165">SUMPRODUCT(('Transaction Glossary'!F$5:F$999=D165)*('Transaction Glossary'!J$5:J$999))</f>
        <v>0</v>
      </c>
      <c r="M165" s="17" cm="1">
        <f t="array" ref="M165">SUMPRODUCT(('Transaction Glossary'!F$5:F$999=D165)*('Transaction Glossary'!K$5:K$999))</f>
        <v>0</v>
      </c>
      <c r="N165" s="17" cm="1">
        <f t="array" ref="N165">SUMPRODUCT(('Transaction Glossary'!F$5:F$999=D165)*('Transaction Glossary'!E$5:E$999="Dividend")*('Transaction Glossary'!K$5:K$999))</f>
        <v>0</v>
      </c>
      <c r="P165" s="17">
        <f t="shared" si="8"/>
        <v>0</v>
      </c>
      <c r="Q165" s="33">
        <f t="shared" si="9"/>
        <v>0</v>
      </c>
      <c r="R165" t="str">
        <f t="shared" si="10"/>
        <v/>
      </c>
      <c r="S165" s="26" t="str" cm="1">
        <f t="array" aca="1" ref="S165" ca="1">IFERROR(INDIRECT(D165&amp;"!R4"),"")</f>
        <v/>
      </c>
      <c r="V165" s="26"/>
    </row>
    <row r="166" spans="12:22" x14ac:dyDescent="0.25">
      <c r="L166" s="33" cm="1">
        <f t="array" ref="L166">SUMPRODUCT(('Transaction Glossary'!F$5:F$999=D166)*('Transaction Glossary'!J$5:J$999))</f>
        <v>0</v>
      </c>
      <c r="M166" s="17" cm="1">
        <f t="array" ref="M166">SUMPRODUCT(('Transaction Glossary'!F$5:F$999=D166)*('Transaction Glossary'!K$5:K$999))</f>
        <v>0</v>
      </c>
      <c r="N166" s="17" cm="1">
        <f t="array" ref="N166">SUMPRODUCT(('Transaction Glossary'!F$5:F$999=D166)*('Transaction Glossary'!E$5:E$999="Dividend")*('Transaction Glossary'!K$5:K$999))</f>
        <v>0</v>
      </c>
      <c r="P166" s="17">
        <f t="shared" si="8"/>
        <v>0</v>
      </c>
      <c r="Q166" s="33">
        <f t="shared" si="9"/>
        <v>0</v>
      </c>
      <c r="R166" t="str">
        <f t="shared" si="10"/>
        <v/>
      </c>
      <c r="S166" s="26" t="str" cm="1">
        <f t="array" aca="1" ref="S166" ca="1">IFERROR(INDIRECT(D166&amp;"!R4"),"")</f>
        <v/>
      </c>
      <c r="V166" s="26"/>
    </row>
    <row r="167" spans="12:22" x14ac:dyDescent="0.25">
      <c r="L167" s="33" cm="1">
        <f t="array" ref="L167">SUMPRODUCT(('Transaction Glossary'!F$5:F$999=D167)*('Transaction Glossary'!J$5:J$999))</f>
        <v>0</v>
      </c>
      <c r="M167" s="17" cm="1">
        <f t="array" ref="M167">SUMPRODUCT(('Transaction Glossary'!F$5:F$999=D167)*('Transaction Glossary'!K$5:K$999))</f>
        <v>0</v>
      </c>
      <c r="N167" s="17" cm="1">
        <f t="array" ref="N167">SUMPRODUCT(('Transaction Glossary'!F$5:F$999=D167)*('Transaction Glossary'!E$5:E$999="Dividend")*('Transaction Glossary'!K$5:K$999))</f>
        <v>0</v>
      </c>
      <c r="P167" s="17">
        <f t="shared" si="8"/>
        <v>0</v>
      </c>
      <c r="Q167" s="33">
        <f t="shared" si="9"/>
        <v>0</v>
      </c>
      <c r="R167" t="str">
        <f t="shared" si="10"/>
        <v/>
      </c>
      <c r="S167" s="26" t="str" cm="1">
        <f t="array" aca="1" ref="S167" ca="1">IFERROR(INDIRECT(D167&amp;"!R4"),"")</f>
        <v/>
      </c>
      <c r="V167" s="26"/>
    </row>
    <row r="168" spans="12:22" x14ac:dyDescent="0.25">
      <c r="L168" s="33" cm="1">
        <f t="array" ref="L168">SUMPRODUCT(('Transaction Glossary'!F$5:F$999=D168)*('Transaction Glossary'!J$5:J$999))</f>
        <v>0</v>
      </c>
      <c r="M168" s="17" cm="1">
        <f t="array" ref="M168">SUMPRODUCT(('Transaction Glossary'!F$5:F$999=D168)*('Transaction Glossary'!K$5:K$999))</f>
        <v>0</v>
      </c>
      <c r="N168" s="17" cm="1">
        <f t="array" ref="N168">SUMPRODUCT(('Transaction Glossary'!F$5:F$999=D168)*('Transaction Glossary'!E$5:E$999="Dividend")*('Transaction Glossary'!K$5:K$999))</f>
        <v>0</v>
      </c>
      <c r="P168" s="17">
        <f t="shared" si="8"/>
        <v>0</v>
      </c>
      <c r="Q168" s="33">
        <f t="shared" si="9"/>
        <v>0</v>
      </c>
      <c r="R168" t="str">
        <f t="shared" si="10"/>
        <v/>
      </c>
      <c r="S168" s="26" t="str" cm="1">
        <f t="array" aca="1" ref="S168" ca="1">IFERROR(INDIRECT(D168&amp;"!R4"),"")</f>
        <v/>
      </c>
      <c r="V168" s="26"/>
    </row>
    <row r="169" spans="12:22" x14ac:dyDescent="0.25">
      <c r="L169" s="33" cm="1">
        <f t="array" ref="L169">SUMPRODUCT(('Transaction Glossary'!F$5:F$999=D169)*('Transaction Glossary'!J$5:J$999))</f>
        <v>0</v>
      </c>
      <c r="M169" s="17" cm="1">
        <f t="array" ref="M169">SUMPRODUCT(('Transaction Glossary'!F$5:F$999=D169)*('Transaction Glossary'!K$5:K$999))</f>
        <v>0</v>
      </c>
      <c r="N169" s="17" cm="1">
        <f t="array" ref="N169">SUMPRODUCT(('Transaction Glossary'!F$5:F$999=D169)*('Transaction Glossary'!E$5:E$999="Dividend")*('Transaction Glossary'!K$5:K$999))</f>
        <v>0</v>
      </c>
      <c r="P169" s="17">
        <f t="shared" si="8"/>
        <v>0</v>
      </c>
      <c r="Q169" s="33">
        <f t="shared" si="9"/>
        <v>0</v>
      </c>
      <c r="R169" t="str">
        <f t="shared" si="10"/>
        <v/>
      </c>
      <c r="S169" s="26" t="str" cm="1">
        <f t="array" aca="1" ref="S169" ca="1">IFERROR(INDIRECT(D169&amp;"!R4"),"")</f>
        <v/>
      </c>
      <c r="V169" s="26"/>
    </row>
    <row r="170" spans="12:22" x14ac:dyDescent="0.25">
      <c r="L170" s="33" cm="1">
        <f t="array" ref="L170">SUMPRODUCT(('Transaction Glossary'!F$5:F$999=D170)*('Transaction Glossary'!J$5:J$999))</f>
        <v>0</v>
      </c>
      <c r="M170" s="17" cm="1">
        <f t="array" ref="M170">SUMPRODUCT(('Transaction Glossary'!F$5:F$999=D170)*('Transaction Glossary'!K$5:K$999))</f>
        <v>0</v>
      </c>
      <c r="N170" s="17" cm="1">
        <f t="array" ref="N170">SUMPRODUCT(('Transaction Glossary'!F$5:F$999=D170)*('Transaction Glossary'!E$5:E$999="Dividend")*('Transaction Glossary'!K$5:K$999))</f>
        <v>0</v>
      </c>
      <c r="P170" s="17">
        <f t="shared" si="8"/>
        <v>0</v>
      </c>
      <c r="Q170" s="33">
        <f t="shared" si="9"/>
        <v>0</v>
      </c>
      <c r="R170" t="str">
        <f t="shared" si="10"/>
        <v/>
      </c>
      <c r="S170" s="26" t="str" cm="1">
        <f t="array" aca="1" ref="S170" ca="1">IFERROR(INDIRECT(D170&amp;"!R4"),"")</f>
        <v/>
      </c>
      <c r="V170" s="26"/>
    </row>
    <row r="171" spans="12:22" x14ac:dyDescent="0.25">
      <c r="L171" s="33" cm="1">
        <f t="array" ref="L171">SUMPRODUCT(('Transaction Glossary'!F$5:F$999=D171)*('Transaction Glossary'!J$5:J$999))</f>
        <v>0</v>
      </c>
      <c r="M171" s="17" cm="1">
        <f t="array" ref="M171">SUMPRODUCT(('Transaction Glossary'!F$5:F$999=D171)*('Transaction Glossary'!K$5:K$999))</f>
        <v>0</v>
      </c>
      <c r="N171" s="17" cm="1">
        <f t="array" ref="N171">SUMPRODUCT(('Transaction Glossary'!F$5:F$999=D171)*('Transaction Glossary'!E$5:E$999="Dividend")*('Transaction Glossary'!K$5:K$999))</f>
        <v>0</v>
      </c>
      <c r="P171" s="17">
        <f t="shared" si="8"/>
        <v>0</v>
      </c>
      <c r="Q171" s="33">
        <f t="shared" si="9"/>
        <v>0</v>
      </c>
      <c r="R171" t="str">
        <f t="shared" si="10"/>
        <v/>
      </c>
      <c r="S171" s="26" t="str" cm="1">
        <f t="array" aca="1" ref="S171" ca="1">IFERROR(INDIRECT(D171&amp;"!R4"),"")</f>
        <v/>
      </c>
      <c r="V171" s="26"/>
    </row>
    <row r="172" spans="12:22" x14ac:dyDescent="0.25">
      <c r="L172" s="33" cm="1">
        <f t="array" ref="L172">SUMPRODUCT(('Transaction Glossary'!F$5:F$999=D172)*('Transaction Glossary'!J$5:J$999))</f>
        <v>0</v>
      </c>
      <c r="M172" s="17" cm="1">
        <f t="array" ref="M172">SUMPRODUCT(('Transaction Glossary'!F$5:F$999=D172)*('Transaction Glossary'!K$5:K$999))</f>
        <v>0</v>
      </c>
      <c r="N172" s="17" cm="1">
        <f t="array" ref="N172">SUMPRODUCT(('Transaction Glossary'!F$5:F$999=D172)*('Transaction Glossary'!E$5:E$999="Dividend")*('Transaction Glossary'!K$5:K$999))</f>
        <v>0</v>
      </c>
      <c r="P172" s="17">
        <f t="shared" si="8"/>
        <v>0</v>
      </c>
      <c r="Q172" s="33">
        <f t="shared" si="9"/>
        <v>0</v>
      </c>
      <c r="R172" t="str">
        <f t="shared" si="10"/>
        <v/>
      </c>
      <c r="S172" s="26" t="str" cm="1">
        <f t="array" aca="1" ref="S172" ca="1">IFERROR(INDIRECT(D172&amp;"!R4"),"")</f>
        <v/>
      </c>
      <c r="V172" s="26"/>
    </row>
    <row r="173" spans="12:22" x14ac:dyDescent="0.25">
      <c r="L173" s="33" cm="1">
        <f t="array" ref="L173">SUMPRODUCT(('Transaction Glossary'!F$5:F$999=D173)*('Transaction Glossary'!J$5:J$999))</f>
        <v>0</v>
      </c>
      <c r="M173" s="17" cm="1">
        <f t="array" ref="M173">SUMPRODUCT(('Transaction Glossary'!F$5:F$999=D173)*('Transaction Glossary'!K$5:K$999))</f>
        <v>0</v>
      </c>
      <c r="N173" s="17" cm="1">
        <f t="array" ref="N173">SUMPRODUCT(('Transaction Glossary'!F$5:F$999=D173)*('Transaction Glossary'!E$5:E$999="Dividend")*('Transaction Glossary'!K$5:K$999))</f>
        <v>0</v>
      </c>
      <c r="P173" s="17">
        <f t="shared" si="8"/>
        <v>0</v>
      </c>
      <c r="Q173" s="33">
        <f t="shared" si="9"/>
        <v>0</v>
      </c>
      <c r="R173" t="str">
        <f t="shared" si="10"/>
        <v/>
      </c>
      <c r="S173" s="26" t="str" cm="1">
        <f t="array" aca="1" ref="S173" ca="1">IFERROR(INDIRECT(D173&amp;"!R4"),"")</f>
        <v/>
      </c>
      <c r="V173" s="26"/>
    </row>
    <row r="174" spans="12:22" x14ac:dyDescent="0.25">
      <c r="L174" s="33" cm="1">
        <f t="array" ref="L174">SUMPRODUCT(('Transaction Glossary'!F$5:F$999=D174)*('Transaction Glossary'!J$5:J$999))</f>
        <v>0</v>
      </c>
      <c r="M174" s="17" cm="1">
        <f t="array" ref="M174">SUMPRODUCT(('Transaction Glossary'!F$5:F$999=D174)*('Transaction Glossary'!K$5:K$999))</f>
        <v>0</v>
      </c>
      <c r="N174" s="17" cm="1">
        <f t="array" ref="N174">SUMPRODUCT(('Transaction Glossary'!F$5:F$999=D174)*('Transaction Glossary'!E$5:E$999="Dividend")*('Transaction Glossary'!K$5:K$999))</f>
        <v>0</v>
      </c>
      <c r="P174" s="17">
        <f t="shared" si="8"/>
        <v>0</v>
      </c>
      <c r="Q174" s="33">
        <f t="shared" si="9"/>
        <v>0</v>
      </c>
      <c r="R174" t="str">
        <f t="shared" si="10"/>
        <v/>
      </c>
      <c r="S174" s="26" t="str" cm="1">
        <f t="array" aca="1" ref="S174" ca="1">IFERROR(INDIRECT(D174&amp;"!R4"),"")</f>
        <v/>
      </c>
      <c r="V174" s="26"/>
    </row>
    <row r="175" spans="12:22" x14ac:dyDescent="0.25">
      <c r="L175" s="33" cm="1">
        <f t="array" ref="L175">SUMPRODUCT(('Transaction Glossary'!F$5:F$999=D175)*('Transaction Glossary'!J$5:J$999))</f>
        <v>0</v>
      </c>
      <c r="M175" s="17" cm="1">
        <f t="array" ref="M175">SUMPRODUCT(('Transaction Glossary'!F$5:F$999=D175)*('Transaction Glossary'!K$5:K$999))</f>
        <v>0</v>
      </c>
      <c r="N175" s="17" cm="1">
        <f t="array" ref="N175">SUMPRODUCT(('Transaction Glossary'!F$5:F$999=D175)*('Transaction Glossary'!E$5:E$999="Dividend")*('Transaction Glossary'!K$5:K$999))</f>
        <v>0</v>
      </c>
      <c r="P175" s="17">
        <f t="shared" si="8"/>
        <v>0</v>
      </c>
      <c r="Q175" s="33">
        <f t="shared" si="9"/>
        <v>0</v>
      </c>
      <c r="R175" t="str">
        <f t="shared" si="10"/>
        <v/>
      </c>
      <c r="S175" s="26" t="str" cm="1">
        <f t="array" aca="1" ref="S175" ca="1">IFERROR(INDIRECT(D175&amp;"!R4"),"")</f>
        <v/>
      </c>
      <c r="V175" s="26"/>
    </row>
    <row r="176" spans="12:22" x14ac:dyDescent="0.25">
      <c r="L176" s="33" cm="1">
        <f t="array" ref="L176">SUMPRODUCT(('Transaction Glossary'!F$5:F$999=D176)*('Transaction Glossary'!J$5:J$999))</f>
        <v>0</v>
      </c>
      <c r="M176" s="17" cm="1">
        <f t="array" ref="M176">SUMPRODUCT(('Transaction Glossary'!F$5:F$999=D176)*('Transaction Glossary'!K$5:K$999))</f>
        <v>0</v>
      </c>
      <c r="N176" s="17" cm="1">
        <f t="array" ref="N176">SUMPRODUCT(('Transaction Glossary'!F$5:F$999=D176)*('Transaction Glossary'!E$5:E$999="Dividend")*('Transaction Glossary'!K$5:K$999))</f>
        <v>0</v>
      </c>
      <c r="P176" s="17">
        <f t="shared" si="8"/>
        <v>0</v>
      </c>
      <c r="Q176" s="33">
        <f t="shared" si="9"/>
        <v>0</v>
      </c>
      <c r="R176" t="str">
        <f t="shared" si="10"/>
        <v/>
      </c>
      <c r="S176" s="26" t="str" cm="1">
        <f t="array" aca="1" ref="S176" ca="1">IFERROR(INDIRECT(D176&amp;"!R4"),"")</f>
        <v/>
      </c>
      <c r="V176" s="26"/>
    </row>
    <row r="177" spans="12:22" x14ac:dyDescent="0.25">
      <c r="L177" s="33" cm="1">
        <f t="array" ref="L177">SUMPRODUCT(('Transaction Glossary'!F$5:F$999=D177)*('Transaction Glossary'!J$5:J$999))</f>
        <v>0</v>
      </c>
      <c r="M177" s="17" cm="1">
        <f t="array" ref="M177">SUMPRODUCT(('Transaction Glossary'!F$5:F$999=D177)*('Transaction Glossary'!K$5:K$999))</f>
        <v>0</v>
      </c>
      <c r="N177" s="17" cm="1">
        <f t="array" ref="N177">SUMPRODUCT(('Transaction Glossary'!F$5:F$999=D177)*('Transaction Glossary'!E$5:E$999="Dividend")*('Transaction Glossary'!K$5:K$999))</f>
        <v>0</v>
      </c>
      <c r="P177" s="17">
        <f t="shared" si="8"/>
        <v>0</v>
      </c>
      <c r="Q177" s="33">
        <f t="shared" si="9"/>
        <v>0</v>
      </c>
      <c r="R177" t="str">
        <f t="shared" si="10"/>
        <v/>
      </c>
      <c r="S177" s="26" t="str" cm="1">
        <f t="array" aca="1" ref="S177" ca="1">IFERROR(INDIRECT(D177&amp;"!R4"),"")</f>
        <v/>
      </c>
      <c r="V177" s="26"/>
    </row>
    <row r="178" spans="12:22" x14ac:dyDescent="0.25">
      <c r="L178" s="33" cm="1">
        <f t="array" ref="L178">SUMPRODUCT(('Transaction Glossary'!F$5:F$999=D178)*('Transaction Glossary'!J$5:J$999))</f>
        <v>0</v>
      </c>
      <c r="M178" s="17" cm="1">
        <f t="array" ref="M178">SUMPRODUCT(('Transaction Glossary'!F$5:F$999=D178)*('Transaction Glossary'!K$5:K$999))</f>
        <v>0</v>
      </c>
      <c r="N178" s="17" cm="1">
        <f t="array" ref="N178">SUMPRODUCT(('Transaction Glossary'!F$5:F$999=D178)*('Transaction Glossary'!E$5:E$999="Dividend")*('Transaction Glossary'!K$5:K$999))</f>
        <v>0</v>
      </c>
      <c r="P178" s="17">
        <f t="shared" si="8"/>
        <v>0</v>
      </c>
      <c r="Q178" s="33">
        <f t="shared" si="9"/>
        <v>0</v>
      </c>
      <c r="R178" t="str">
        <f t="shared" si="10"/>
        <v/>
      </c>
      <c r="S178" s="26" t="str" cm="1">
        <f t="array" aca="1" ref="S178" ca="1">IFERROR(INDIRECT(D178&amp;"!R4"),"")</f>
        <v/>
      </c>
      <c r="V178" s="26"/>
    </row>
    <row r="179" spans="12:22" x14ac:dyDescent="0.25">
      <c r="L179" s="33" cm="1">
        <f t="array" ref="L179">SUMPRODUCT(('Transaction Glossary'!F$5:F$999=D179)*('Transaction Glossary'!J$5:J$999))</f>
        <v>0</v>
      </c>
      <c r="M179" s="17" cm="1">
        <f t="array" ref="M179">SUMPRODUCT(('Transaction Glossary'!F$5:F$999=D179)*('Transaction Glossary'!K$5:K$999))</f>
        <v>0</v>
      </c>
      <c r="N179" s="17" cm="1">
        <f t="array" ref="N179">SUMPRODUCT(('Transaction Glossary'!F$5:F$999=D179)*('Transaction Glossary'!E$5:E$999="Dividend")*('Transaction Glossary'!K$5:K$999))</f>
        <v>0</v>
      </c>
      <c r="P179" s="17">
        <f t="shared" si="8"/>
        <v>0</v>
      </c>
      <c r="Q179" s="33">
        <f t="shared" si="9"/>
        <v>0</v>
      </c>
      <c r="R179" t="str">
        <f t="shared" si="10"/>
        <v/>
      </c>
      <c r="S179" s="26" t="str" cm="1">
        <f t="array" aca="1" ref="S179" ca="1">IFERROR(INDIRECT(D179&amp;"!R4"),"")</f>
        <v/>
      </c>
      <c r="V179" s="26"/>
    </row>
    <row r="180" spans="12:22" x14ac:dyDescent="0.25">
      <c r="L180" s="33" cm="1">
        <f t="array" ref="L180">SUMPRODUCT(('Transaction Glossary'!F$5:F$999=D180)*('Transaction Glossary'!J$5:J$999))</f>
        <v>0</v>
      </c>
      <c r="M180" s="17" cm="1">
        <f t="array" ref="M180">SUMPRODUCT(('Transaction Glossary'!F$5:F$999=D180)*('Transaction Glossary'!K$5:K$999))</f>
        <v>0</v>
      </c>
      <c r="N180" s="17" cm="1">
        <f t="array" ref="N180">SUMPRODUCT(('Transaction Glossary'!F$5:F$999=D180)*('Transaction Glossary'!E$5:E$999="Dividend")*('Transaction Glossary'!K$5:K$999))</f>
        <v>0</v>
      </c>
      <c r="P180" s="17">
        <f t="shared" si="8"/>
        <v>0</v>
      </c>
      <c r="Q180" s="33">
        <f t="shared" si="9"/>
        <v>0</v>
      </c>
      <c r="R180" t="str">
        <f t="shared" si="10"/>
        <v/>
      </c>
      <c r="S180" s="26" t="str" cm="1">
        <f t="array" aca="1" ref="S180" ca="1">IFERROR(INDIRECT(D180&amp;"!R4"),"")</f>
        <v/>
      </c>
      <c r="V180" s="26"/>
    </row>
    <row r="181" spans="12:22" x14ac:dyDescent="0.25">
      <c r="L181" s="33" cm="1">
        <f t="array" ref="L181">SUMPRODUCT(('Transaction Glossary'!F$5:F$999=D181)*('Transaction Glossary'!J$5:J$999))</f>
        <v>0</v>
      </c>
      <c r="M181" s="17" cm="1">
        <f t="array" ref="M181">SUMPRODUCT(('Transaction Glossary'!F$5:F$999=D181)*('Transaction Glossary'!K$5:K$999))</f>
        <v>0</v>
      </c>
      <c r="N181" s="17" cm="1">
        <f t="array" ref="N181">SUMPRODUCT(('Transaction Glossary'!F$5:F$999=D181)*('Transaction Glossary'!E$5:E$999="Dividend")*('Transaction Glossary'!K$5:K$999))</f>
        <v>0</v>
      </c>
      <c r="P181" s="17">
        <f t="shared" si="8"/>
        <v>0</v>
      </c>
      <c r="Q181" s="33">
        <f t="shared" si="9"/>
        <v>0</v>
      </c>
      <c r="R181" t="str">
        <f t="shared" si="10"/>
        <v/>
      </c>
      <c r="S181" s="26" t="str" cm="1">
        <f t="array" aca="1" ref="S181" ca="1">IFERROR(INDIRECT(D181&amp;"!R4"),"")</f>
        <v/>
      </c>
      <c r="V181" s="26"/>
    </row>
    <row r="182" spans="12:22" x14ac:dyDescent="0.25">
      <c r="L182" s="33" cm="1">
        <f t="array" ref="L182">SUMPRODUCT(('Transaction Glossary'!F$5:F$999=D182)*('Transaction Glossary'!J$5:J$999))</f>
        <v>0</v>
      </c>
      <c r="M182" s="17" cm="1">
        <f t="array" ref="M182">SUMPRODUCT(('Transaction Glossary'!F$5:F$999=D182)*('Transaction Glossary'!K$5:K$999))</f>
        <v>0</v>
      </c>
      <c r="N182" s="17" cm="1">
        <f t="array" ref="N182">SUMPRODUCT(('Transaction Glossary'!F$5:F$999=D182)*('Transaction Glossary'!E$5:E$999="Dividend")*('Transaction Glossary'!K$5:K$999))</f>
        <v>0</v>
      </c>
      <c r="P182" s="17">
        <f t="shared" si="8"/>
        <v>0</v>
      </c>
      <c r="Q182" s="33">
        <f t="shared" si="9"/>
        <v>0</v>
      </c>
      <c r="R182" t="str">
        <f t="shared" si="10"/>
        <v/>
      </c>
      <c r="S182" s="26" t="str" cm="1">
        <f t="array" aca="1" ref="S182" ca="1">IFERROR(INDIRECT(D182&amp;"!R4"),"")</f>
        <v/>
      </c>
      <c r="V182" s="26"/>
    </row>
    <row r="183" spans="12:22" x14ac:dyDescent="0.25">
      <c r="L183" s="33" cm="1">
        <f t="array" ref="L183">SUMPRODUCT(('Transaction Glossary'!F$5:F$999=D183)*('Transaction Glossary'!J$5:J$999))</f>
        <v>0</v>
      </c>
      <c r="M183" s="17" cm="1">
        <f t="array" ref="M183">SUMPRODUCT(('Transaction Glossary'!F$5:F$999=D183)*('Transaction Glossary'!K$5:K$999))</f>
        <v>0</v>
      </c>
      <c r="N183" s="17" cm="1">
        <f t="array" ref="N183">SUMPRODUCT(('Transaction Glossary'!F$5:F$999=D183)*('Transaction Glossary'!E$5:E$999="Dividend")*('Transaction Glossary'!K$5:K$999))</f>
        <v>0</v>
      </c>
      <c r="P183" s="17">
        <f t="shared" si="8"/>
        <v>0</v>
      </c>
      <c r="Q183" s="33">
        <f t="shared" si="9"/>
        <v>0</v>
      </c>
      <c r="R183" t="str">
        <f t="shared" si="10"/>
        <v/>
      </c>
      <c r="S183" s="26" t="str" cm="1">
        <f t="array" aca="1" ref="S183" ca="1">IFERROR(INDIRECT(D183&amp;"!R4"),"")</f>
        <v/>
      </c>
      <c r="V183" s="26"/>
    </row>
    <row r="184" spans="12:22" x14ac:dyDescent="0.25">
      <c r="L184" s="33" cm="1">
        <f t="array" ref="L184">SUMPRODUCT(('Transaction Glossary'!F$5:F$999=D184)*('Transaction Glossary'!J$5:J$999))</f>
        <v>0</v>
      </c>
      <c r="M184" s="17" cm="1">
        <f t="array" ref="M184">SUMPRODUCT(('Transaction Glossary'!F$5:F$999=D184)*('Transaction Glossary'!K$5:K$999))</f>
        <v>0</v>
      </c>
      <c r="N184" s="17" cm="1">
        <f t="array" ref="N184">SUMPRODUCT(('Transaction Glossary'!F$5:F$999=D184)*('Transaction Glossary'!E$5:E$999="Dividend")*('Transaction Glossary'!K$5:K$999))</f>
        <v>0</v>
      </c>
      <c r="P184" s="17">
        <f t="shared" si="8"/>
        <v>0</v>
      </c>
      <c r="Q184" s="33">
        <f t="shared" si="9"/>
        <v>0</v>
      </c>
      <c r="R184" t="str">
        <f t="shared" si="10"/>
        <v/>
      </c>
      <c r="S184" s="26" t="str" cm="1">
        <f t="array" aca="1" ref="S184" ca="1">IFERROR(INDIRECT(D184&amp;"!R4"),"")</f>
        <v/>
      </c>
      <c r="V184" s="26"/>
    </row>
    <row r="185" spans="12:22" x14ac:dyDescent="0.25">
      <c r="L185" s="33" cm="1">
        <f t="array" ref="L185">SUMPRODUCT(('Transaction Glossary'!F$5:F$999=D185)*('Transaction Glossary'!J$5:J$999))</f>
        <v>0</v>
      </c>
      <c r="M185" s="17" cm="1">
        <f t="array" ref="M185">SUMPRODUCT(('Transaction Glossary'!F$5:F$999=D185)*('Transaction Glossary'!K$5:K$999))</f>
        <v>0</v>
      </c>
      <c r="N185" s="17" cm="1">
        <f t="array" ref="N185">SUMPRODUCT(('Transaction Glossary'!F$5:F$999=D185)*('Transaction Glossary'!E$5:E$999="Dividend")*('Transaction Glossary'!K$5:K$999))</f>
        <v>0</v>
      </c>
      <c r="P185" s="17">
        <f t="shared" si="8"/>
        <v>0</v>
      </c>
      <c r="Q185" s="33">
        <f t="shared" si="9"/>
        <v>0</v>
      </c>
      <c r="R185" t="str">
        <f t="shared" si="10"/>
        <v/>
      </c>
      <c r="S185" s="26" t="str" cm="1">
        <f t="array" aca="1" ref="S185" ca="1">IFERROR(INDIRECT(D185&amp;"!R4"),"")</f>
        <v/>
      </c>
      <c r="V185" s="26"/>
    </row>
    <row r="186" spans="12:22" x14ac:dyDescent="0.25">
      <c r="L186" s="33" cm="1">
        <f t="array" ref="L186">SUMPRODUCT(('Transaction Glossary'!F$5:F$999=D186)*('Transaction Glossary'!J$5:J$999))</f>
        <v>0</v>
      </c>
      <c r="M186" s="17" cm="1">
        <f t="array" ref="M186">SUMPRODUCT(('Transaction Glossary'!F$5:F$999=D186)*('Transaction Glossary'!K$5:K$999))</f>
        <v>0</v>
      </c>
      <c r="N186" s="17" cm="1">
        <f t="array" ref="N186">SUMPRODUCT(('Transaction Glossary'!F$5:F$999=D186)*('Transaction Glossary'!E$5:E$999="Dividend")*('Transaction Glossary'!K$5:K$999))</f>
        <v>0</v>
      </c>
      <c r="P186" s="17">
        <f t="shared" si="8"/>
        <v>0</v>
      </c>
      <c r="Q186" s="33">
        <f t="shared" si="9"/>
        <v>0</v>
      </c>
      <c r="R186" t="str">
        <f t="shared" si="10"/>
        <v/>
      </c>
      <c r="S186" s="26" t="str" cm="1">
        <f t="array" aca="1" ref="S186" ca="1">IFERROR(INDIRECT(D186&amp;"!R4"),"")</f>
        <v/>
      </c>
      <c r="V186" s="26"/>
    </row>
    <row r="187" spans="12:22" x14ac:dyDescent="0.25">
      <c r="L187" s="33" cm="1">
        <f t="array" ref="L187">SUMPRODUCT(('Transaction Glossary'!F$5:F$999=D187)*('Transaction Glossary'!J$5:J$999))</f>
        <v>0</v>
      </c>
      <c r="M187" s="17" cm="1">
        <f t="array" ref="M187">SUMPRODUCT(('Transaction Glossary'!F$5:F$999=D187)*('Transaction Glossary'!K$5:K$999))</f>
        <v>0</v>
      </c>
      <c r="N187" s="17" cm="1">
        <f t="array" ref="N187">SUMPRODUCT(('Transaction Glossary'!F$5:F$999=D187)*('Transaction Glossary'!E$5:E$999="Dividend")*('Transaction Glossary'!K$5:K$999))</f>
        <v>0</v>
      </c>
      <c r="P187" s="17">
        <f t="shared" si="8"/>
        <v>0</v>
      </c>
      <c r="Q187" s="33">
        <f t="shared" si="9"/>
        <v>0</v>
      </c>
      <c r="R187" t="str">
        <f t="shared" si="10"/>
        <v/>
      </c>
      <c r="S187" s="26" t="str" cm="1">
        <f t="array" aca="1" ref="S187" ca="1">IFERROR(INDIRECT(D187&amp;"!R4"),"")</f>
        <v/>
      </c>
      <c r="V187" s="26"/>
    </row>
    <row r="188" spans="12:22" x14ac:dyDescent="0.25">
      <c r="L188" s="33" cm="1">
        <f t="array" ref="L188">SUMPRODUCT(('Transaction Glossary'!F$5:F$999=D188)*('Transaction Glossary'!J$5:J$999))</f>
        <v>0</v>
      </c>
      <c r="M188" s="17" cm="1">
        <f t="array" ref="M188">SUMPRODUCT(('Transaction Glossary'!F$5:F$999=D188)*('Transaction Glossary'!K$5:K$999))</f>
        <v>0</v>
      </c>
      <c r="N188" s="17" cm="1">
        <f t="array" ref="N188">SUMPRODUCT(('Transaction Glossary'!F$5:F$999=D188)*('Transaction Glossary'!E$5:E$999="Dividend")*('Transaction Glossary'!K$5:K$999))</f>
        <v>0</v>
      </c>
      <c r="P188" s="17">
        <f t="shared" si="8"/>
        <v>0</v>
      </c>
      <c r="Q188" s="33">
        <f t="shared" si="9"/>
        <v>0</v>
      </c>
      <c r="R188" t="str">
        <f t="shared" si="10"/>
        <v/>
      </c>
      <c r="S188" s="26" t="str" cm="1">
        <f t="array" aca="1" ref="S188" ca="1">IFERROR(INDIRECT(D188&amp;"!R4"),"")</f>
        <v/>
      </c>
      <c r="V188" s="26"/>
    </row>
    <row r="189" spans="12:22" x14ac:dyDescent="0.25">
      <c r="L189" s="33" cm="1">
        <f t="array" ref="L189">SUMPRODUCT(('Transaction Glossary'!F$5:F$999=D189)*('Transaction Glossary'!J$5:J$999))</f>
        <v>0</v>
      </c>
      <c r="M189" s="17" cm="1">
        <f t="array" ref="M189">SUMPRODUCT(('Transaction Glossary'!F$5:F$999=D189)*('Transaction Glossary'!K$5:K$999))</f>
        <v>0</v>
      </c>
      <c r="N189" s="17" cm="1">
        <f t="array" ref="N189">SUMPRODUCT(('Transaction Glossary'!F$5:F$999=D189)*('Transaction Glossary'!E$5:E$999="Dividend")*('Transaction Glossary'!K$5:K$999))</f>
        <v>0</v>
      </c>
      <c r="P189" s="17">
        <f t="shared" si="8"/>
        <v>0</v>
      </c>
      <c r="Q189" s="33">
        <f t="shared" si="9"/>
        <v>0</v>
      </c>
      <c r="R189" t="str">
        <f t="shared" si="10"/>
        <v/>
      </c>
      <c r="S189" s="26" t="str" cm="1">
        <f t="array" aca="1" ref="S189" ca="1">IFERROR(INDIRECT(D189&amp;"!R4"),"")</f>
        <v/>
      </c>
      <c r="V189" s="26"/>
    </row>
    <row r="190" spans="12:22" x14ac:dyDescent="0.25">
      <c r="L190" s="33" cm="1">
        <f t="array" ref="L190">SUMPRODUCT(('Transaction Glossary'!F$5:F$999=D190)*('Transaction Glossary'!J$5:J$999))</f>
        <v>0</v>
      </c>
      <c r="M190" s="17" cm="1">
        <f t="array" ref="M190">SUMPRODUCT(('Transaction Glossary'!F$5:F$999=D190)*('Transaction Glossary'!K$5:K$999))</f>
        <v>0</v>
      </c>
      <c r="N190" s="17" cm="1">
        <f t="array" ref="N190">SUMPRODUCT(('Transaction Glossary'!F$5:F$999=D190)*('Transaction Glossary'!E$5:E$999="Dividend")*('Transaction Glossary'!K$5:K$999))</f>
        <v>0</v>
      </c>
      <c r="P190" s="17">
        <f t="shared" si="8"/>
        <v>0</v>
      </c>
      <c r="Q190" s="33">
        <f t="shared" si="9"/>
        <v>0</v>
      </c>
      <c r="R190" t="str">
        <f t="shared" si="10"/>
        <v/>
      </c>
      <c r="S190" s="26" t="str" cm="1">
        <f t="array" aca="1" ref="S190" ca="1">IFERROR(INDIRECT(D190&amp;"!R4"),"")</f>
        <v/>
      </c>
      <c r="V190" s="26"/>
    </row>
    <row r="191" spans="12:22" x14ac:dyDescent="0.25">
      <c r="L191" s="33" cm="1">
        <f t="array" ref="L191">SUMPRODUCT(('Transaction Glossary'!F$5:F$999=D191)*('Transaction Glossary'!J$5:J$999))</f>
        <v>0</v>
      </c>
      <c r="M191" s="17" cm="1">
        <f t="array" ref="M191">SUMPRODUCT(('Transaction Glossary'!F$5:F$999=D191)*('Transaction Glossary'!K$5:K$999))</f>
        <v>0</v>
      </c>
      <c r="N191" s="17" cm="1">
        <f t="array" ref="N191">SUMPRODUCT(('Transaction Glossary'!F$5:F$999=D191)*('Transaction Glossary'!E$5:E$999="Dividend")*('Transaction Glossary'!K$5:K$999))</f>
        <v>0</v>
      </c>
      <c r="P191" s="17">
        <f t="shared" si="8"/>
        <v>0</v>
      </c>
      <c r="Q191" s="33">
        <f t="shared" si="9"/>
        <v>0</v>
      </c>
      <c r="R191" t="str">
        <f t="shared" si="10"/>
        <v/>
      </c>
      <c r="S191" s="26" t="str" cm="1">
        <f t="array" aca="1" ref="S191" ca="1">IFERROR(INDIRECT(D191&amp;"!R4"),"")</f>
        <v/>
      </c>
      <c r="V191" s="26"/>
    </row>
    <row r="192" spans="12:22" x14ac:dyDescent="0.25">
      <c r="L192" s="33" cm="1">
        <f t="array" ref="L192">SUMPRODUCT(('Transaction Glossary'!F$5:F$999=D192)*('Transaction Glossary'!J$5:J$999))</f>
        <v>0</v>
      </c>
      <c r="M192" s="17" cm="1">
        <f t="array" ref="M192">SUMPRODUCT(('Transaction Glossary'!F$5:F$999=D192)*('Transaction Glossary'!K$5:K$999))</f>
        <v>0</v>
      </c>
      <c r="N192" s="17" cm="1">
        <f t="array" ref="N192">SUMPRODUCT(('Transaction Glossary'!F$5:F$999=D192)*('Transaction Glossary'!E$5:E$999="Dividend")*('Transaction Glossary'!K$5:K$999))</f>
        <v>0</v>
      </c>
      <c r="P192" s="17">
        <f t="shared" si="8"/>
        <v>0</v>
      </c>
      <c r="Q192" s="33">
        <f t="shared" si="9"/>
        <v>0</v>
      </c>
      <c r="R192" t="str">
        <f t="shared" si="10"/>
        <v/>
      </c>
      <c r="S192" s="26" t="str" cm="1">
        <f t="array" aca="1" ref="S192" ca="1">IFERROR(INDIRECT(D192&amp;"!R4"),"")</f>
        <v/>
      </c>
      <c r="V192" s="26"/>
    </row>
    <row r="193" spans="12:22" x14ac:dyDescent="0.25">
      <c r="L193" s="33" cm="1">
        <f t="array" ref="L193">SUMPRODUCT(('Transaction Glossary'!F$5:F$999=D193)*('Transaction Glossary'!J$5:J$999))</f>
        <v>0</v>
      </c>
      <c r="M193" s="17" cm="1">
        <f t="array" ref="M193">SUMPRODUCT(('Transaction Glossary'!F$5:F$999=D193)*('Transaction Glossary'!K$5:K$999))</f>
        <v>0</v>
      </c>
      <c r="N193" s="17" cm="1">
        <f t="array" ref="N193">SUMPRODUCT(('Transaction Glossary'!F$5:F$999=D193)*('Transaction Glossary'!E$5:E$999="Dividend")*('Transaction Glossary'!K$5:K$999))</f>
        <v>0</v>
      </c>
      <c r="P193" s="17">
        <f t="shared" si="8"/>
        <v>0</v>
      </c>
      <c r="Q193" s="33">
        <f t="shared" si="9"/>
        <v>0</v>
      </c>
      <c r="R193" t="str">
        <f t="shared" si="10"/>
        <v/>
      </c>
      <c r="S193" s="26" t="str" cm="1">
        <f t="array" aca="1" ref="S193" ca="1">IFERROR(INDIRECT(D193&amp;"!R4"),"")</f>
        <v/>
      </c>
      <c r="V193" s="26"/>
    </row>
    <row r="194" spans="12:22" x14ac:dyDescent="0.25">
      <c r="L194" s="33" cm="1">
        <f t="array" ref="L194">SUMPRODUCT(('Transaction Glossary'!F$5:F$999=D194)*('Transaction Glossary'!J$5:J$999))</f>
        <v>0</v>
      </c>
      <c r="M194" s="17" cm="1">
        <f t="array" ref="M194">SUMPRODUCT(('Transaction Glossary'!F$5:F$999=D194)*('Transaction Glossary'!K$5:K$999))</f>
        <v>0</v>
      </c>
      <c r="N194" s="17" cm="1">
        <f t="array" ref="N194">SUMPRODUCT(('Transaction Glossary'!F$5:F$999=D194)*('Transaction Glossary'!E$5:E$999="Dividend")*('Transaction Glossary'!K$5:K$999))</f>
        <v>0</v>
      </c>
      <c r="P194" s="17">
        <f t="shared" si="8"/>
        <v>0</v>
      </c>
      <c r="Q194" s="33">
        <f t="shared" si="9"/>
        <v>0</v>
      </c>
      <c r="R194" t="str">
        <f t="shared" si="10"/>
        <v/>
      </c>
      <c r="S194" s="26" t="str" cm="1">
        <f t="array" aca="1" ref="S194" ca="1">IFERROR(INDIRECT(D194&amp;"!R4"),"")</f>
        <v/>
      </c>
      <c r="V194" s="26"/>
    </row>
    <row r="195" spans="12:22" x14ac:dyDescent="0.25">
      <c r="L195" s="33" cm="1">
        <f t="array" ref="L195">SUMPRODUCT(('Transaction Glossary'!F$5:F$999=D195)*('Transaction Glossary'!J$5:J$999))</f>
        <v>0</v>
      </c>
      <c r="M195" s="17" cm="1">
        <f t="array" ref="M195">SUMPRODUCT(('Transaction Glossary'!F$5:F$999=D195)*('Transaction Glossary'!K$5:K$999))</f>
        <v>0</v>
      </c>
      <c r="N195" s="17" cm="1">
        <f t="array" ref="N195">SUMPRODUCT(('Transaction Glossary'!F$5:F$999=D195)*('Transaction Glossary'!E$5:E$999="Dividend")*('Transaction Glossary'!K$5:K$999))</f>
        <v>0</v>
      </c>
      <c r="P195" s="17">
        <f t="shared" si="8"/>
        <v>0</v>
      </c>
      <c r="Q195" s="33">
        <f t="shared" si="9"/>
        <v>0</v>
      </c>
      <c r="R195" t="str">
        <f t="shared" si="10"/>
        <v/>
      </c>
      <c r="S195" s="26" t="str" cm="1">
        <f t="array" aca="1" ref="S195" ca="1">IFERROR(INDIRECT(D195&amp;"!R4"),"")</f>
        <v/>
      </c>
      <c r="V195" s="26"/>
    </row>
    <row r="196" spans="12:22" x14ac:dyDescent="0.25">
      <c r="L196" s="33" cm="1">
        <f t="array" ref="L196">SUMPRODUCT(('Transaction Glossary'!F$5:F$999=D196)*('Transaction Glossary'!J$5:J$999))</f>
        <v>0</v>
      </c>
      <c r="M196" s="17" cm="1">
        <f t="array" ref="M196">SUMPRODUCT(('Transaction Glossary'!F$5:F$999=D196)*('Transaction Glossary'!K$5:K$999))</f>
        <v>0</v>
      </c>
      <c r="N196" s="17" cm="1">
        <f t="array" ref="N196">SUMPRODUCT(('Transaction Glossary'!F$5:F$999=D196)*('Transaction Glossary'!E$5:E$999="Dividend")*('Transaction Glossary'!K$5:K$999))</f>
        <v>0</v>
      </c>
      <c r="P196" s="17">
        <f t="shared" si="8"/>
        <v>0</v>
      </c>
      <c r="Q196" s="33">
        <f t="shared" si="9"/>
        <v>0</v>
      </c>
      <c r="R196" t="str">
        <f t="shared" si="10"/>
        <v/>
      </c>
      <c r="S196" s="26" t="str" cm="1">
        <f t="array" aca="1" ref="S196" ca="1">IFERROR(INDIRECT(D196&amp;"!R4"),"")</f>
        <v/>
      </c>
      <c r="V196" s="26"/>
    </row>
    <row r="197" spans="12:22" x14ac:dyDescent="0.25">
      <c r="L197" s="33" cm="1">
        <f t="array" ref="L197">SUMPRODUCT(('Transaction Glossary'!F$5:F$999=D197)*('Transaction Glossary'!J$5:J$999))</f>
        <v>0</v>
      </c>
      <c r="M197" s="17" cm="1">
        <f t="array" ref="M197">SUMPRODUCT(('Transaction Glossary'!F$5:F$999=D197)*('Transaction Glossary'!K$5:K$999))</f>
        <v>0</v>
      </c>
      <c r="N197" s="17" cm="1">
        <f t="array" ref="N197">SUMPRODUCT(('Transaction Glossary'!F$5:F$999=D197)*('Transaction Glossary'!E$5:E$999="Dividend")*('Transaction Glossary'!K$5:K$999))</f>
        <v>0</v>
      </c>
      <c r="P197" s="17">
        <f t="shared" ref="P197:P252" si="11">H197+M197</f>
        <v>0</v>
      </c>
      <c r="Q197" s="33">
        <f t="shared" ref="Q197:Q252" si="12">I197+L197</f>
        <v>0</v>
      </c>
      <c r="R197" t="str">
        <f t="shared" ref="R197:R252" si="13">IFERROR(P197/Q197, "")</f>
        <v/>
      </c>
      <c r="S197" s="26" t="str" cm="1">
        <f t="array" aca="1" ref="S197" ca="1">IFERROR(INDIRECT(D197&amp;"!R4"),"")</f>
        <v/>
      </c>
      <c r="V197" s="26"/>
    </row>
    <row r="198" spans="12:22" x14ac:dyDescent="0.25">
      <c r="L198" s="33" cm="1">
        <f t="array" ref="L198">SUMPRODUCT(('Transaction Glossary'!F$5:F$999=D198)*('Transaction Glossary'!J$5:J$999))</f>
        <v>0</v>
      </c>
      <c r="M198" s="17" cm="1">
        <f t="array" ref="M198">SUMPRODUCT(('Transaction Glossary'!F$5:F$999=D198)*('Transaction Glossary'!K$5:K$999))</f>
        <v>0</v>
      </c>
      <c r="N198" s="17" cm="1">
        <f t="array" ref="N198">SUMPRODUCT(('Transaction Glossary'!F$5:F$999=D198)*('Transaction Glossary'!E$5:E$999="Dividend")*('Transaction Glossary'!K$5:K$999))</f>
        <v>0</v>
      </c>
      <c r="P198" s="17">
        <f t="shared" si="11"/>
        <v>0</v>
      </c>
      <c r="Q198" s="33">
        <f t="shared" si="12"/>
        <v>0</v>
      </c>
      <c r="R198" t="str">
        <f t="shared" si="13"/>
        <v/>
      </c>
      <c r="S198" s="26" t="str" cm="1">
        <f t="array" aca="1" ref="S198" ca="1">IFERROR(INDIRECT(D198&amp;"!R4"),"")</f>
        <v/>
      </c>
      <c r="V198" s="26"/>
    </row>
    <row r="199" spans="12:22" x14ac:dyDescent="0.25">
      <c r="L199" s="33" cm="1">
        <f t="array" ref="L199">SUMPRODUCT(('Transaction Glossary'!F$5:F$999=D199)*('Transaction Glossary'!J$5:J$999))</f>
        <v>0</v>
      </c>
      <c r="M199" s="17" cm="1">
        <f t="array" ref="M199">SUMPRODUCT(('Transaction Glossary'!F$5:F$999=D199)*('Transaction Glossary'!K$5:K$999))</f>
        <v>0</v>
      </c>
      <c r="N199" s="17" cm="1">
        <f t="array" ref="N199">SUMPRODUCT(('Transaction Glossary'!F$5:F$999=D199)*('Transaction Glossary'!E$5:E$999="Dividend")*('Transaction Glossary'!K$5:K$999))</f>
        <v>0</v>
      </c>
      <c r="P199" s="17">
        <f t="shared" si="11"/>
        <v>0</v>
      </c>
      <c r="Q199" s="33">
        <f t="shared" si="12"/>
        <v>0</v>
      </c>
      <c r="R199" t="str">
        <f t="shared" si="13"/>
        <v/>
      </c>
      <c r="S199" s="26" t="str" cm="1">
        <f t="array" aca="1" ref="S199" ca="1">IFERROR(INDIRECT(D199&amp;"!R4"),"")</f>
        <v/>
      </c>
      <c r="V199" s="26"/>
    </row>
    <row r="200" spans="12:22" x14ac:dyDescent="0.25">
      <c r="L200" s="33" cm="1">
        <f t="array" ref="L200">SUMPRODUCT(('Transaction Glossary'!F$5:F$999=D200)*('Transaction Glossary'!J$5:J$999))</f>
        <v>0</v>
      </c>
      <c r="M200" s="17" cm="1">
        <f t="array" ref="M200">SUMPRODUCT(('Transaction Glossary'!F$5:F$999=D200)*('Transaction Glossary'!K$5:K$999))</f>
        <v>0</v>
      </c>
      <c r="N200" s="17" cm="1">
        <f t="array" ref="N200">SUMPRODUCT(('Transaction Glossary'!F$5:F$999=D200)*('Transaction Glossary'!E$5:E$999="Dividend")*('Transaction Glossary'!K$5:K$999))</f>
        <v>0</v>
      </c>
      <c r="P200" s="17">
        <f t="shared" si="11"/>
        <v>0</v>
      </c>
      <c r="Q200" s="33">
        <f t="shared" si="12"/>
        <v>0</v>
      </c>
      <c r="R200" t="str">
        <f t="shared" si="13"/>
        <v/>
      </c>
      <c r="S200" s="26" t="str" cm="1">
        <f t="array" aca="1" ref="S200" ca="1">IFERROR(INDIRECT(D200&amp;"!R4"),"")</f>
        <v/>
      </c>
      <c r="V200" s="26"/>
    </row>
    <row r="201" spans="12:22" x14ac:dyDescent="0.25">
      <c r="L201" s="33" cm="1">
        <f t="array" ref="L201">SUMPRODUCT(('Transaction Glossary'!F$5:F$999=D201)*('Transaction Glossary'!J$5:J$999))</f>
        <v>0</v>
      </c>
      <c r="M201" s="17" cm="1">
        <f t="array" ref="M201">SUMPRODUCT(('Transaction Glossary'!F$5:F$999=D201)*('Transaction Glossary'!K$5:K$999))</f>
        <v>0</v>
      </c>
      <c r="N201" s="17" cm="1">
        <f t="array" ref="N201">SUMPRODUCT(('Transaction Glossary'!F$5:F$999=D201)*('Transaction Glossary'!E$5:E$999="Dividend")*('Transaction Glossary'!K$5:K$999))</f>
        <v>0</v>
      </c>
      <c r="P201" s="17">
        <f t="shared" si="11"/>
        <v>0</v>
      </c>
      <c r="Q201" s="33">
        <f t="shared" si="12"/>
        <v>0</v>
      </c>
      <c r="R201" t="str">
        <f t="shared" si="13"/>
        <v/>
      </c>
      <c r="S201" s="26" t="str" cm="1">
        <f t="array" aca="1" ref="S201" ca="1">IFERROR(INDIRECT(D201&amp;"!R4"),"")</f>
        <v/>
      </c>
      <c r="V201" s="26"/>
    </row>
    <row r="202" spans="12:22" x14ac:dyDescent="0.25">
      <c r="L202" s="33" cm="1">
        <f t="array" ref="L202">SUMPRODUCT(('Transaction Glossary'!F$5:F$999=D202)*('Transaction Glossary'!J$5:J$999))</f>
        <v>0</v>
      </c>
      <c r="M202" s="17" cm="1">
        <f t="array" ref="M202">SUMPRODUCT(('Transaction Glossary'!F$5:F$999=D202)*('Transaction Glossary'!K$5:K$999))</f>
        <v>0</v>
      </c>
      <c r="N202" s="17" cm="1">
        <f t="array" ref="N202">SUMPRODUCT(('Transaction Glossary'!F$5:F$999=D202)*('Transaction Glossary'!E$5:E$999="Dividend")*('Transaction Glossary'!K$5:K$999))</f>
        <v>0</v>
      </c>
      <c r="P202" s="17">
        <f t="shared" si="11"/>
        <v>0</v>
      </c>
      <c r="Q202" s="33">
        <f t="shared" si="12"/>
        <v>0</v>
      </c>
      <c r="R202" t="str">
        <f t="shared" si="13"/>
        <v/>
      </c>
      <c r="S202" s="26" t="str" cm="1">
        <f t="array" aca="1" ref="S202" ca="1">IFERROR(INDIRECT(D202&amp;"!R4"),"")</f>
        <v/>
      </c>
      <c r="V202" s="26"/>
    </row>
    <row r="203" spans="12:22" x14ac:dyDescent="0.25">
      <c r="L203" s="33" cm="1">
        <f t="array" ref="L203">SUMPRODUCT(('Transaction Glossary'!F$5:F$999=D203)*('Transaction Glossary'!J$5:J$999))</f>
        <v>0</v>
      </c>
      <c r="M203" s="17" cm="1">
        <f t="array" ref="M203">SUMPRODUCT(('Transaction Glossary'!F$5:F$999=D203)*('Transaction Glossary'!K$5:K$999))</f>
        <v>0</v>
      </c>
      <c r="N203" s="17" cm="1">
        <f t="array" ref="N203">SUMPRODUCT(('Transaction Glossary'!F$5:F$999=D203)*('Transaction Glossary'!E$5:E$999="Dividend")*('Transaction Glossary'!K$5:K$999))</f>
        <v>0</v>
      </c>
      <c r="P203" s="17">
        <f t="shared" si="11"/>
        <v>0</v>
      </c>
      <c r="Q203" s="33">
        <f t="shared" si="12"/>
        <v>0</v>
      </c>
      <c r="R203" t="str">
        <f t="shared" si="13"/>
        <v/>
      </c>
      <c r="S203" s="26" t="str" cm="1">
        <f t="array" aca="1" ref="S203" ca="1">IFERROR(INDIRECT(D203&amp;"!R4"),"")</f>
        <v/>
      </c>
      <c r="V203" s="26"/>
    </row>
    <row r="204" spans="12:22" x14ac:dyDescent="0.25">
      <c r="L204" s="33" cm="1">
        <f t="array" ref="L204">SUMPRODUCT(('Transaction Glossary'!F$5:F$999=D204)*('Transaction Glossary'!J$5:J$999))</f>
        <v>0</v>
      </c>
      <c r="M204" s="17" cm="1">
        <f t="array" ref="M204">SUMPRODUCT(('Transaction Glossary'!F$5:F$999=D204)*('Transaction Glossary'!K$5:K$999))</f>
        <v>0</v>
      </c>
      <c r="N204" s="17" cm="1">
        <f t="array" ref="N204">SUMPRODUCT(('Transaction Glossary'!F$5:F$999=D204)*('Transaction Glossary'!E$5:E$999="Dividend")*('Transaction Glossary'!K$5:K$999))</f>
        <v>0</v>
      </c>
      <c r="P204" s="17">
        <f t="shared" si="11"/>
        <v>0</v>
      </c>
      <c r="Q204" s="33">
        <f t="shared" si="12"/>
        <v>0</v>
      </c>
      <c r="R204" t="str">
        <f t="shared" si="13"/>
        <v/>
      </c>
      <c r="S204" s="26" t="str" cm="1">
        <f t="array" aca="1" ref="S204" ca="1">IFERROR(INDIRECT(D204&amp;"!R4"),"")</f>
        <v/>
      </c>
      <c r="V204" s="26"/>
    </row>
    <row r="205" spans="12:22" x14ac:dyDescent="0.25">
      <c r="L205" s="33" cm="1">
        <f t="array" ref="L205">SUMPRODUCT(('Transaction Glossary'!F$5:F$999=D205)*('Transaction Glossary'!J$5:J$999))</f>
        <v>0</v>
      </c>
      <c r="M205" s="17" cm="1">
        <f t="array" ref="M205">SUMPRODUCT(('Transaction Glossary'!F$5:F$999=D205)*('Transaction Glossary'!K$5:K$999))</f>
        <v>0</v>
      </c>
      <c r="N205" s="17" cm="1">
        <f t="array" ref="N205">SUMPRODUCT(('Transaction Glossary'!F$5:F$999=D205)*('Transaction Glossary'!E$5:E$999="Dividend")*('Transaction Glossary'!K$5:K$999))</f>
        <v>0</v>
      </c>
      <c r="P205" s="17">
        <f t="shared" si="11"/>
        <v>0</v>
      </c>
      <c r="Q205" s="33">
        <f t="shared" si="12"/>
        <v>0</v>
      </c>
      <c r="R205" t="str">
        <f t="shared" si="13"/>
        <v/>
      </c>
      <c r="S205" s="26" t="str" cm="1">
        <f t="array" aca="1" ref="S205" ca="1">IFERROR(INDIRECT(D205&amp;"!R4"),"")</f>
        <v/>
      </c>
      <c r="V205" s="26"/>
    </row>
    <row r="206" spans="12:22" x14ac:dyDescent="0.25">
      <c r="L206" s="33" cm="1">
        <f t="array" ref="L206">SUMPRODUCT(('Transaction Glossary'!F$5:F$999=D206)*('Transaction Glossary'!J$5:J$999))</f>
        <v>0</v>
      </c>
      <c r="M206" s="17" cm="1">
        <f t="array" ref="M206">SUMPRODUCT(('Transaction Glossary'!F$5:F$999=D206)*('Transaction Glossary'!K$5:K$999))</f>
        <v>0</v>
      </c>
      <c r="N206" s="17" cm="1">
        <f t="array" ref="N206">SUMPRODUCT(('Transaction Glossary'!F$5:F$999=D206)*('Transaction Glossary'!E$5:E$999="Dividend")*('Transaction Glossary'!K$5:K$999))</f>
        <v>0</v>
      </c>
      <c r="P206" s="17">
        <f t="shared" si="11"/>
        <v>0</v>
      </c>
      <c r="Q206" s="33">
        <f t="shared" si="12"/>
        <v>0</v>
      </c>
      <c r="R206" t="str">
        <f t="shared" si="13"/>
        <v/>
      </c>
      <c r="S206" s="26" t="str" cm="1">
        <f t="array" aca="1" ref="S206" ca="1">IFERROR(INDIRECT(D206&amp;"!R4"),"")</f>
        <v/>
      </c>
      <c r="V206" s="26"/>
    </row>
    <row r="207" spans="12:22" x14ac:dyDescent="0.25">
      <c r="L207" s="33" cm="1">
        <f t="array" ref="L207">SUMPRODUCT(('Transaction Glossary'!F$5:F$999=D207)*('Transaction Glossary'!J$5:J$999))</f>
        <v>0</v>
      </c>
      <c r="M207" s="17" cm="1">
        <f t="array" ref="M207">SUMPRODUCT(('Transaction Glossary'!F$5:F$999=D207)*('Transaction Glossary'!K$5:K$999))</f>
        <v>0</v>
      </c>
      <c r="N207" s="17" cm="1">
        <f t="array" ref="N207">SUMPRODUCT(('Transaction Glossary'!F$5:F$999=D207)*('Transaction Glossary'!E$5:E$999="Dividend")*('Transaction Glossary'!K$5:K$999))</f>
        <v>0</v>
      </c>
      <c r="P207" s="17">
        <f t="shared" si="11"/>
        <v>0</v>
      </c>
      <c r="Q207" s="33">
        <f t="shared" si="12"/>
        <v>0</v>
      </c>
      <c r="R207" t="str">
        <f t="shared" si="13"/>
        <v/>
      </c>
      <c r="S207" s="26" t="str" cm="1">
        <f t="array" aca="1" ref="S207" ca="1">IFERROR(INDIRECT(D207&amp;"!R4"),"")</f>
        <v/>
      </c>
      <c r="V207" s="26"/>
    </row>
    <row r="208" spans="12:22" x14ac:dyDescent="0.25">
      <c r="L208" s="33" cm="1">
        <f t="array" ref="L208">SUMPRODUCT(('Transaction Glossary'!F$5:F$999=D208)*('Transaction Glossary'!J$5:J$999))</f>
        <v>0</v>
      </c>
      <c r="M208" s="17" cm="1">
        <f t="array" ref="M208">SUMPRODUCT(('Transaction Glossary'!F$5:F$999=D208)*('Transaction Glossary'!K$5:K$999))</f>
        <v>0</v>
      </c>
      <c r="N208" s="17" cm="1">
        <f t="array" ref="N208">SUMPRODUCT(('Transaction Glossary'!F$5:F$999=D208)*('Transaction Glossary'!E$5:E$999="Dividend")*('Transaction Glossary'!K$5:K$999))</f>
        <v>0</v>
      </c>
      <c r="P208" s="17">
        <f t="shared" si="11"/>
        <v>0</v>
      </c>
      <c r="Q208" s="33">
        <f t="shared" si="12"/>
        <v>0</v>
      </c>
      <c r="R208" t="str">
        <f t="shared" si="13"/>
        <v/>
      </c>
      <c r="S208" s="26" t="str" cm="1">
        <f t="array" aca="1" ref="S208" ca="1">IFERROR(INDIRECT(D208&amp;"!R4"),"")</f>
        <v/>
      </c>
      <c r="V208" s="26"/>
    </row>
    <row r="209" spans="12:22" x14ac:dyDescent="0.25">
      <c r="L209" s="33" cm="1">
        <f t="array" ref="L209">SUMPRODUCT(('Transaction Glossary'!F$5:F$999=D209)*('Transaction Glossary'!J$5:J$999))</f>
        <v>0</v>
      </c>
      <c r="M209" s="17" cm="1">
        <f t="array" ref="M209">SUMPRODUCT(('Transaction Glossary'!F$5:F$999=D209)*('Transaction Glossary'!K$5:K$999))</f>
        <v>0</v>
      </c>
      <c r="N209" s="17" cm="1">
        <f t="array" ref="N209">SUMPRODUCT(('Transaction Glossary'!F$5:F$999=D209)*('Transaction Glossary'!E$5:E$999="Dividend")*('Transaction Glossary'!K$5:K$999))</f>
        <v>0</v>
      </c>
      <c r="P209" s="17">
        <f t="shared" si="11"/>
        <v>0</v>
      </c>
      <c r="Q209" s="33">
        <f t="shared" si="12"/>
        <v>0</v>
      </c>
      <c r="R209" t="str">
        <f t="shared" si="13"/>
        <v/>
      </c>
      <c r="S209" s="26" t="str" cm="1">
        <f t="array" aca="1" ref="S209" ca="1">IFERROR(INDIRECT(D209&amp;"!R4"),"")</f>
        <v/>
      </c>
      <c r="V209" s="26"/>
    </row>
    <row r="210" spans="12:22" x14ac:dyDescent="0.25">
      <c r="L210" s="33" cm="1">
        <f t="array" ref="L210">SUMPRODUCT(('Transaction Glossary'!F$5:F$999=D210)*('Transaction Glossary'!J$5:J$999))</f>
        <v>0</v>
      </c>
      <c r="M210" s="17" cm="1">
        <f t="array" ref="M210">SUMPRODUCT(('Transaction Glossary'!F$5:F$999=D210)*('Transaction Glossary'!K$5:K$999))</f>
        <v>0</v>
      </c>
      <c r="N210" s="17" cm="1">
        <f t="array" ref="N210">SUMPRODUCT(('Transaction Glossary'!F$5:F$999=D210)*('Transaction Glossary'!E$5:E$999="Dividend")*('Transaction Glossary'!K$5:K$999))</f>
        <v>0</v>
      </c>
      <c r="P210" s="17">
        <f t="shared" si="11"/>
        <v>0</v>
      </c>
      <c r="Q210" s="33">
        <f t="shared" si="12"/>
        <v>0</v>
      </c>
      <c r="R210" t="str">
        <f t="shared" si="13"/>
        <v/>
      </c>
      <c r="S210" s="26" t="str" cm="1">
        <f t="array" aca="1" ref="S210" ca="1">IFERROR(INDIRECT(D210&amp;"!R4"),"")</f>
        <v/>
      </c>
      <c r="V210" s="26"/>
    </row>
    <row r="211" spans="12:22" x14ac:dyDescent="0.25">
      <c r="L211" s="33" cm="1">
        <f t="array" ref="L211">SUMPRODUCT(('Transaction Glossary'!F$5:F$999=D211)*('Transaction Glossary'!J$5:J$999))</f>
        <v>0</v>
      </c>
      <c r="M211" s="17" cm="1">
        <f t="array" ref="M211">SUMPRODUCT(('Transaction Glossary'!F$5:F$999=D211)*('Transaction Glossary'!K$5:K$999))</f>
        <v>0</v>
      </c>
      <c r="N211" s="17" cm="1">
        <f t="array" ref="N211">SUMPRODUCT(('Transaction Glossary'!F$5:F$999=D211)*('Transaction Glossary'!E$5:E$999="Dividend")*('Transaction Glossary'!K$5:K$999))</f>
        <v>0</v>
      </c>
      <c r="P211" s="17">
        <f t="shared" si="11"/>
        <v>0</v>
      </c>
      <c r="Q211" s="33">
        <f t="shared" si="12"/>
        <v>0</v>
      </c>
      <c r="R211" t="str">
        <f t="shared" si="13"/>
        <v/>
      </c>
      <c r="S211" s="26" t="str" cm="1">
        <f t="array" aca="1" ref="S211" ca="1">IFERROR(INDIRECT(D211&amp;"!R4"),"")</f>
        <v/>
      </c>
      <c r="V211" s="26"/>
    </row>
    <row r="212" spans="12:22" x14ac:dyDescent="0.25">
      <c r="L212" s="33" cm="1">
        <f t="array" ref="L212">SUMPRODUCT(('Transaction Glossary'!F$5:F$999=D212)*('Transaction Glossary'!J$5:J$999))</f>
        <v>0</v>
      </c>
      <c r="M212" s="17" cm="1">
        <f t="array" ref="M212">SUMPRODUCT(('Transaction Glossary'!F$5:F$999=D212)*('Transaction Glossary'!K$5:K$999))</f>
        <v>0</v>
      </c>
      <c r="N212" s="17" cm="1">
        <f t="array" ref="N212">SUMPRODUCT(('Transaction Glossary'!F$5:F$999=D212)*('Transaction Glossary'!E$5:E$999="Dividend")*('Transaction Glossary'!K$5:K$999))</f>
        <v>0</v>
      </c>
      <c r="P212" s="17">
        <f t="shared" si="11"/>
        <v>0</v>
      </c>
      <c r="Q212" s="33">
        <f t="shared" si="12"/>
        <v>0</v>
      </c>
      <c r="R212" t="str">
        <f t="shared" si="13"/>
        <v/>
      </c>
      <c r="S212" s="26" t="str" cm="1">
        <f t="array" aca="1" ref="S212" ca="1">IFERROR(INDIRECT(D212&amp;"!R4"),"")</f>
        <v/>
      </c>
      <c r="V212" s="26"/>
    </row>
    <row r="213" spans="12:22" x14ac:dyDescent="0.25">
      <c r="L213" s="33" cm="1">
        <f t="array" ref="L213">SUMPRODUCT(('Transaction Glossary'!F$5:F$999=D213)*('Transaction Glossary'!J$5:J$999))</f>
        <v>0</v>
      </c>
      <c r="M213" s="17" cm="1">
        <f t="array" ref="M213">SUMPRODUCT(('Transaction Glossary'!F$5:F$999=D213)*('Transaction Glossary'!K$5:K$999))</f>
        <v>0</v>
      </c>
      <c r="N213" s="17" cm="1">
        <f t="array" ref="N213">SUMPRODUCT(('Transaction Glossary'!F$5:F$999=D213)*('Transaction Glossary'!E$5:E$999="Dividend")*('Transaction Glossary'!K$5:K$999))</f>
        <v>0</v>
      </c>
      <c r="P213" s="17">
        <f t="shared" si="11"/>
        <v>0</v>
      </c>
      <c r="Q213" s="33">
        <f t="shared" si="12"/>
        <v>0</v>
      </c>
      <c r="R213" t="str">
        <f t="shared" si="13"/>
        <v/>
      </c>
      <c r="S213" s="26" t="str" cm="1">
        <f t="array" aca="1" ref="S213" ca="1">IFERROR(INDIRECT(D213&amp;"!R4"),"")</f>
        <v/>
      </c>
      <c r="V213" s="26"/>
    </row>
    <row r="214" spans="12:22" x14ac:dyDescent="0.25">
      <c r="L214" s="33" cm="1">
        <f t="array" ref="L214">SUMPRODUCT(('Transaction Glossary'!F$5:F$999=D214)*('Transaction Glossary'!J$5:J$999))</f>
        <v>0</v>
      </c>
      <c r="M214" s="17" cm="1">
        <f t="array" ref="M214">SUMPRODUCT(('Transaction Glossary'!F$5:F$999=D214)*('Transaction Glossary'!K$5:K$999))</f>
        <v>0</v>
      </c>
      <c r="N214" s="17" cm="1">
        <f t="array" ref="N214">SUMPRODUCT(('Transaction Glossary'!F$5:F$999=D214)*('Transaction Glossary'!E$5:E$999="Dividend")*('Transaction Glossary'!K$5:K$999))</f>
        <v>0</v>
      </c>
      <c r="P214" s="17">
        <f t="shared" si="11"/>
        <v>0</v>
      </c>
      <c r="Q214" s="33">
        <f t="shared" si="12"/>
        <v>0</v>
      </c>
      <c r="R214" t="str">
        <f t="shared" si="13"/>
        <v/>
      </c>
      <c r="S214" s="26" t="str" cm="1">
        <f t="array" aca="1" ref="S214" ca="1">IFERROR(INDIRECT(D214&amp;"!R4"),"")</f>
        <v/>
      </c>
      <c r="V214" s="26"/>
    </row>
    <row r="215" spans="12:22" x14ac:dyDescent="0.25">
      <c r="L215" s="33" cm="1">
        <f t="array" ref="L215">SUMPRODUCT(('Transaction Glossary'!F$5:F$999=D215)*('Transaction Glossary'!J$5:J$999))</f>
        <v>0</v>
      </c>
      <c r="M215" s="17" cm="1">
        <f t="array" ref="M215">SUMPRODUCT(('Transaction Glossary'!F$5:F$999=D215)*('Transaction Glossary'!K$5:K$999))</f>
        <v>0</v>
      </c>
      <c r="N215" s="17" cm="1">
        <f t="array" ref="N215">SUMPRODUCT(('Transaction Glossary'!F$5:F$999=D215)*('Transaction Glossary'!E$5:E$999="Dividend")*('Transaction Glossary'!K$5:K$999))</f>
        <v>0</v>
      </c>
      <c r="P215" s="17">
        <f t="shared" si="11"/>
        <v>0</v>
      </c>
      <c r="Q215" s="33">
        <f t="shared" si="12"/>
        <v>0</v>
      </c>
      <c r="R215" t="str">
        <f t="shared" si="13"/>
        <v/>
      </c>
      <c r="S215" s="26" t="str" cm="1">
        <f t="array" aca="1" ref="S215" ca="1">IFERROR(INDIRECT(D215&amp;"!R4"),"")</f>
        <v/>
      </c>
      <c r="V215" s="26"/>
    </row>
    <row r="216" spans="12:22" x14ac:dyDescent="0.25">
      <c r="L216" s="33" cm="1">
        <f t="array" ref="L216">SUMPRODUCT(('Transaction Glossary'!F$5:F$999=D216)*('Transaction Glossary'!J$5:J$999))</f>
        <v>0</v>
      </c>
      <c r="M216" s="17" cm="1">
        <f t="array" ref="M216">SUMPRODUCT(('Transaction Glossary'!F$5:F$999=D216)*('Transaction Glossary'!K$5:K$999))</f>
        <v>0</v>
      </c>
      <c r="N216" s="17" cm="1">
        <f t="array" ref="N216">SUMPRODUCT(('Transaction Glossary'!F$5:F$999=D216)*('Transaction Glossary'!E$5:E$999="Dividend")*('Transaction Glossary'!K$5:K$999))</f>
        <v>0</v>
      </c>
      <c r="P216" s="17">
        <f t="shared" si="11"/>
        <v>0</v>
      </c>
      <c r="Q216" s="33">
        <f t="shared" si="12"/>
        <v>0</v>
      </c>
      <c r="R216" t="str">
        <f t="shared" si="13"/>
        <v/>
      </c>
      <c r="S216" s="26" t="str" cm="1">
        <f t="array" aca="1" ref="S216" ca="1">IFERROR(INDIRECT(D216&amp;"!R4"),"")</f>
        <v/>
      </c>
      <c r="V216" s="26"/>
    </row>
    <row r="217" spans="12:22" x14ac:dyDescent="0.25">
      <c r="L217" s="33" cm="1">
        <f t="array" ref="L217">SUMPRODUCT(('Transaction Glossary'!F$5:F$999=D217)*('Transaction Glossary'!J$5:J$999))</f>
        <v>0</v>
      </c>
      <c r="M217" s="17" cm="1">
        <f t="array" ref="M217">SUMPRODUCT(('Transaction Glossary'!F$5:F$999=D217)*('Transaction Glossary'!K$5:K$999))</f>
        <v>0</v>
      </c>
      <c r="N217" s="17" cm="1">
        <f t="array" ref="N217">SUMPRODUCT(('Transaction Glossary'!F$5:F$999=D217)*('Transaction Glossary'!E$5:E$999="Dividend")*('Transaction Glossary'!K$5:K$999))</f>
        <v>0</v>
      </c>
      <c r="P217" s="17">
        <f t="shared" si="11"/>
        <v>0</v>
      </c>
      <c r="Q217" s="33">
        <f t="shared" si="12"/>
        <v>0</v>
      </c>
      <c r="R217" t="str">
        <f t="shared" si="13"/>
        <v/>
      </c>
      <c r="S217" s="26" t="str" cm="1">
        <f t="array" aca="1" ref="S217" ca="1">IFERROR(INDIRECT(D217&amp;"!R4"),"")</f>
        <v/>
      </c>
      <c r="V217" s="26"/>
    </row>
    <row r="218" spans="12:22" x14ac:dyDescent="0.25">
      <c r="L218" s="33" cm="1">
        <f t="array" ref="L218">SUMPRODUCT(('Transaction Glossary'!F$5:F$999=D218)*('Transaction Glossary'!J$5:J$999))</f>
        <v>0</v>
      </c>
      <c r="M218" s="17" cm="1">
        <f t="array" ref="M218">SUMPRODUCT(('Transaction Glossary'!F$5:F$999=D218)*('Transaction Glossary'!K$5:K$999))</f>
        <v>0</v>
      </c>
      <c r="N218" s="17" cm="1">
        <f t="array" ref="N218">SUMPRODUCT(('Transaction Glossary'!F$5:F$999=D218)*('Transaction Glossary'!E$5:E$999="Dividend")*('Transaction Glossary'!K$5:K$999))</f>
        <v>0</v>
      </c>
      <c r="P218" s="17">
        <f t="shared" si="11"/>
        <v>0</v>
      </c>
      <c r="Q218" s="33">
        <f t="shared" si="12"/>
        <v>0</v>
      </c>
      <c r="R218" t="str">
        <f t="shared" si="13"/>
        <v/>
      </c>
      <c r="S218" s="26" t="str" cm="1">
        <f t="array" aca="1" ref="S218" ca="1">IFERROR(INDIRECT(D218&amp;"!R4"),"")</f>
        <v/>
      </c>
      <c r="V218" s="26"/>
    </row>
    <row r="219" spans="12:22" x14ac:dyDescent="0.25">
      <c r="L219" s="33" cm="1">
        <f t="array" ref="L219">SUMPRODUCT(('Transaction Glossary'!F$5:F$999=D219)*('Transaction Glossary'!J$5:J$999))</f>
        <v>0</v>
      </c>
      <c r="M219" s="17" cm="1">
        <f t="array" ref="M219">SUMPRODUCT(('Transaction Glossary'!F$5:F$999=D219)*('Transaction Glossary'!K$5:K$999))</f>
        <v>0</v>
      </c>
      <c r="N219" s="17" cm="1">
        <f t="array" ref="N219">SUMPRODUCT(('Transaction Glossary'!F$5:F$999=D219)*('Transaction Glossary'!E$5:E$999="Dividend")*('Transaction Glossary'!K$5:K$999))</f>
        <v>0</v>
      </c>
      <c r="P219" s="17">
        <f t="shared" si="11"/>
        <v>0</v>
      </c>
      <c r="Q219" s="33">
        <f t="shared" si="12"/>
        <v>0</v>
      </c>
      <c r="R219" t="str">
        <f t="shared" si="13"/>
        <v/>
      </c>
      <c r="S219" s="26" t="str" cm="1">
        <f t="array" aca="1" ref="S219" ca="1">IFERROR(INDIRECT(D219&amp;"!R4"),"")</f>
        <v/>
      </c>
      <c r="V219" s="26"/>
    </row>
    <row r="220" spans="12:22" x14ac:dyDescent="0.25">
      <c r="L220" s="33" cm="1">
        <f t="array" ref="L220">SUMPRODUCT(('Transaction Glossary'!F$5:F$999=D220)*('Transaction Glossary'!J$5:J$999))</f>
        <v>0</v>
      </c>
      <c r="M220" s="17" cm="1">
        <f t="array" ref="M220">SUMPRODUCT(('Transaction Glossary'!F$5:F$999=D220)*('Transaction Glossary'!K$5:K$999))</f>
        <v>0</v>
      </c>
      <c r="N220" s="17" cm="1">
        <f t="array" ref="N220">SUMPRODUCT(('Transaction Glossary'!F$5:F$999=D220)*('Transaction Glossary'!E$5:E$999="Dividend")*('Transaction Glossary'!K$5:K$999))</f>
        <v>0</v>
      </c>
      <c r="P220" s="17">
        <f t="shared" si="11"/>
        <v>0</v>
      </c>
      <c r="Q220" s="33">
        <f t="shared" si="12"/>
        <v>0</v>
      </c>
      <c r="R220" t="str">
        <f t="shared" si="13"/>
        <v/>
      </c>
      <c r="S220" s="26" t="str" cm="1">
        <f t="array" aca="1" ref="S220" ca="1">IFERROR(INDIRECT(D220&amp;"!R4"),"")</f>
        <v/>
      </c>
      <c r="V220" s="26"/>
    </row>
    <row r="221" spans="12:22" x14ac:dyDescent="0.25">
      <c r="L221" s="33" cm="1">
        <f t="array" ref="L221">SUMPRODUCT(('Transaction Glossary'!F$5:F$999=D221)*('Transaction Glossary'!J$5:J$999))</f>
        <v>0</v>
      </c>
      <c r="M221" s="17" cm="1">
        <f t="array" ref="M221">SUMPRODUCT(('Transaction Glossary'!F$5:F$999=D221)*('Transaction Glossary'!K$5:K$999))</f>
        <v>0</v>
      </c>
      <c r="N221" s="17" cm="1">
        <f t="array" ref="N221">SUMPRODUCT(('Transaction Glossary'!F$5:F$999=D221)*('Transaction Glossary'!E$5:E$999="Dividend")*('Transaction Glossary'!K$5:K$999))</f>
        <v>0</v>
      </c>
      <c r="P221" s="17">
        <f t="shared" si="11"/>
        <v>0</v>
      </c>
      <c r="Q221" s="33">
        <f t="shared" si="12"/>
        <v>0</v>
      </c>
      <c r="R221" t="str">
        <f t="shared" si="13"/>
        <v/>
      </c>
      <c r="S221" s="26" t="str" cm="1">
        <f t="array" aca="1" ref="S221" ca="1">IFERROR(INDIRECT(D221&amp;"!R4"),"")</f>
        <v/>
      </c>
      <c r="V221" s="26"/>
    </row>
    <row r="222" spans="12:22" x14ac:dyDescent="0.25">
      <c r="L222" s="33" cm="1">
        <f t="array" ref="L222">SUMPRODUCT(('Transaction Glossary'!F$5:F$999=D222)*('Transaction Glossary'!J$5:J$999))</f>
        <v>0</v>
      </c>
      <c r="M222" s="17" cm="1">
        <f t="array" ref="M222">SUMPRODUCT(('Transaction Glossary'!F$5:F$999=D222)*('Transaction Glossary'!K$5:K$999))</f>
        <v>0</v>
      </c>
      <c r="N222" s="17" cm="1">
        <f t="array" ref="N222">SUMPRODUCT(('Transaction Glossary'!F$5:F$999=D222)*('Transaction Glossary'!E$5:E$999="Dividend")*('Transaction Glossary'!K$5:K$999))</f>
        <v>0</v>
      </c>
      <c r="P222" s="17">
        <f t="shared" si="11"/>
        <v>0</v>
      </c>
      <c r="Q222" s="33">
        <f t="shared" si="12"/>
        <v>0</v>
      </c>
      <c r="R222" t="str">
        <f t="shared" si="13"/>
        <v/>
      </c>
      <c r="S222" s="26" t="str" cm="1">
        <f t="array" aca="1" ref="S222" ca="1">IFERROR(INDIRECT(D222&amp;"!R4"),"")</f>
        <v/>
      </c>
      <c r="V222" s="26"/>
    </row>
    <row r="223" spans="12:22" x14ac:dyDescent="0.25">
      <c r="L223" s="33" cm="1">
        <f t="array" ref="L223">SUMPRODUCT(('Transaction Glossary'!F$5:F$999=D223)*('Transaction Glossary'!J$5:J$999))</f>
        <v>0</v>
      </c>
      <c r="M223" s="17" cm="1">
        <f t="array" ref="M223">SUMPRODUCT(('Transaction Glossary'!F$5:F$999=D223)*('Transaction Glossary'!K$5:K$999))</f>
        <v>0</v>
      </c>
      <c r="N223" s="17" cm="1">
        <f t="array" ref="N223">SUMPRODUCT(('Transaction Glossary'!F$5:F$999=D223)*('Transaction Glossary'!E$5:E$999="Dividend")*('Transaction Glossary'!K$5:K$999))</f>
        <v>0</v>
      </c>
      <c r="P223" s="17">
        <f t="shared" si="11"/>
        <v>0</v>
      </c>
      <c r="Q223" s="33">
        <f t="shared" si="12"/>
        <v>0</v>
      </c>
      <c r="R223" t="str">
        <f t="shared" si="13"/>
        <v/>
      </c>
      <c r="S223" s="26" t="str" cm="1">
        <f t="array" aca="1" ref="S223" ca="1">IFERROR(INDIRECT(D223&amp;"!R4"),"")</f>
        <v/>
      </c>
      <c r="V223" s="26"/>
    </row>
    <row r="224" spans="12:22" x14ac:dyDescent="0.25">
      <c r="L224" s="33" cm="1">
        <f t="array" ref="L224">SUMPRODUCT(('Transaction Glossary'!F$5:F$999=D224)*('Transaction Glossary'!J$5:J$999))</f>
        <v>0</v>
      </c>
      <c r="M224" s="17" cm="1">
        <f t="array" ref="M224">SUMPRODUCT(('Transaction Glossary'!F$5:F$999=D224)*('Transaction Glossary'!K$5:K$999))</f>
        <v>0</v>
      </c>
      <c r="N224" s="17" cm="1">
        <f t="array" ref="N224">SUMPRODUCT(('Transaction Glossary'!F$5:F$999=D224)*('Transaction Glossary'!E$5:E$999="Dividend")*('Transaction Glossary'!K$5:K$999))</f>
        <v>0</v>
      </c>
      <c r="P224" s="17">
        <f t="shared" si="11"/>
        <v>0</v>
      </c>
      <c r="Q224" s="33">
        <f t="shared" si="12"/>
        <v>0</v>
      </c>
      <c r="R224" t="str">
        <f t="shared" si="13"/>
        <v/>
      </c>
      <c r="S224" s="26" t="str" cm="1">
        <f t="array" aca="1" ref="S224" ca="1">IFERROR(INDIRECT(D224&amp;"!R4"),"")</f>
        <v/>
      </c>
      <c r="V224" s="26"/>
    </row>
    <row r="225" spans="12:22" x14ac:dyDescent="0.25">
      <c r="L225" s="33" cm="1">
        <f t="array" ref="L225">SUMPRODUCT(('Transaction Glossary'!F$5:F$999=D225)*('Transaction Glossary'!J$5:J$999))</f>
        <v>0</v>
      </c>
      <c r="M225" s="17" cm="1">
        <f t="array" ref="M225">SUMPRODUCT(('Transaction Glossary'!F$5:F$999=D225)*('Transaction Glossary'!K$5:K$999))</f>
        <v>0</v>
      </c>
      <c r="N225" s="17" cm="1">
        <f t="array" ref="N225">SUMPRODUCT(('Transaction Glossary'!F$5:F$999=D225)*('Transaction Glossary'!E$5:E$999="Dividend")*('Transaction Glossary'!K$5:K$999))</f>
        <v>0</v>
      </c>
      <c r="P225" s="17">
        <f t="shared" si="11"/>
        <v>0</v>
      </c>
      <c r="Q225" s="33">
        <f t="shared" si="12"/>
        <v>0</v>
      </c>
      <c r="R225" t="str">
        <f t="shared" si="13"/>
        <v/>
      </c>
      <c r="S225" s="26" t="str" cm="1">
        <f t="array" aca="1" ref="S225" ca="1">IFERROR(INDIRECT(D225&amp;"!R4"),"")</f>
        <v/>
      </c>
      <c r="V225" s="26"/>
    </row>
    <row r="226" spans="12:22" x14ac:dyDescent="0.25">
      <c r="L226" s="33" cm="1">
        <f t="array" ref="L226">SUMPRODUCT(('Transaction Glossary'!F$5:F$999=D226)*('Transaction Glossary'!J$5:J$999))</f>
        <v>0</v>
      </c>
      <c r="M226" s="17" cm="1">
        <f t="array" ref="M226">SUMPRODUCT(('Transaction Glossary'!F$5:F$999=D226)*('Transaction Glossary'!K$5:K$999))</f>
        <v>0</v>
      </c>
      <c r="N226" s="17" cm="1">
        <f t="array" ref="N226">SUMPRODUCT(('Transaction Glossary'!F$5:F$999=D226)*('Transaction Glossary'!E$5:E$999="Dividend")*('Transaction Glossary'!K$5:K$999))</f>
        <v>0</v>
      </c>
      <c r="P226" s="17">
        <f t="shared" si="11"/>
        <v>0</v>
      </c>
      <c r="Q226" s="33">
        <f t="shared" si="12"/>
        <v>0</v>
      </c>
      <c r="R226" t="str">
        <f t="shared" si="13"/>
        <v/>
      </c>
      <c r="S226" s="26" t="str" cm="1">
        <f t="array" aca="1" ref="S226" ca="1">IFERROR(INDIRECT(D226&amp;"!R4"),"")</f>
        <v/>
      </c>
      <c r="V226" s="26"/>
    </row>
    <row r="227" spans="12:22" x14ac:dyDescent="0.25">
      <c r="L227" s="33" cm="1">
        <f t="array" ref="L227">SUMPRODUCT(('Transaction Glossary'!F$5:F$999=D227)*('Transaction Glossary'!J$5:J$999))</f>
        <v>0</v>
      </c>
      <c r="M227" s="17" cm="1">
        <f t="array" ref="M227">SUMPRODUCT(('Transaction Glossary'!F$5:F$999=D227)*('Transaction Glossary'!K$5:K$999))</f>
        <v>0</v>
      </c>
      <c r="N227" s="17" cm="1">
        <f t="array" ref="N227">SUMPRODUCT(('Transaction Glossary'!F$5:F$999=D227)*('Transaction Glossary'!E$5:E$999="Dividend")*('Transaction Glossary'!K$5:K$999))</f>
        <v>0</v>
      </c>
      <c r="P227" s="17">
        <f t="shared" si="11"/>
        <v>0</v>
      </c>
      <c r="Q227" s="33">
        <f t="shared" si="12"/>
        <v>0</v>
      </c>
      <c r="R227" t="str">
        <f t="shared" si="13"/>
        <v/>
      </c>
      <c r="S227" s="26" t="str" cm="1">
        <f t="array" aca="1" ref="S227" ca="1">IFERROR(INDIRECT(D227&amp;"!R4"),"")</f>
        <v/>
      </c>
      <c r="V227" s="26"/>
    </row>
    <row r="228" spans="12:22" x14ac:dyDescent="0.25">
      <c r="L228" s="33" cm="1">
        <f t="array" ref="L228">SUMPRODUCT(('Transaction Glossary'!F$5:F$999=D228)*('Transaction Glossary'!J$5:J$999))</f>
        <v>0</v>
      </c>
      <c r="M228" s="17" cm="1">
        <f t="array" ref="M228">SUMPRODUCT(('Transaction Glossary'!F$5:F$999=D228)*('Transaction Glossary'!K$5:K$999))</f>
        <v>0</v>
      </c>
      <c r="N228" s="17" cm="1">
        <f t="array" ref="N228">SUMPRODUCT(('Transaction Glossary'!F$5:F$999=D228)*('Transaction Glossary'!E$5:E$999="Dividend")*('Transaction Glossary'!K$5:K$999))</f>
        <v>0</v>
      </c>
      <c r="P228" s="17">
        <f t="shared" si="11"/>
        <v>0</v>
      </c>
      <c r="Q228" s="33">
        <f t="shared" si="12"/>
        <v>0</v>
      </c>
      <c r="R228" t="str">
        <f t="shared" si="13"/>
        <v/>
      </c>
      <c r="S228" s="26" t="str" cm="1">
        <f t="array" aca="1" ref="S228" ca="1">IFERROR(INDIRECT(D228&amp;"!R4"),"")</f>
        <v/>
      </c>
      <c r="V228" s="26"/>
    </row>
    <row r="229" spans="12:22" x14ac:dyDescent="0.25">
      <c r="L229" s="33" cm="1">
        <f t="array" ref="L229">SUMPRODUCT(('Transaction Glossary'!F$5:F$999=D229)*('Transaction Glossary'!J$5:J$999))</f>
        <v>0</v>
      </c>
      <c r="M229" s="17" cm="1">
        <f t="array" ref="M229">SUMPRODUCT(('Transaction Glossary'!F$5:F$999=D229)*('Transaction Glossary'!K$5:K$999))</f>
        <v>0</v>
      </c>
      <c r="N229" s="17" cm="1">
        <f t="array" ref="N229">SUMPRODUCT(('Transaction Glossary'!F$5:F$999=D229)*('Transaction Glossary'!E$5:E$999="Dividend")*('Transaction Glossary'!K$5:K$999))</f>
        <v>0</v>
      </c>
      <c r="P229" s="17">
        <f t="shared" si="11"/>
        <v>0</v>
      </c>
      <c r="Q229" s="33">
        <f t="shared" si="12"/>
        <v>0</v>
      </c>
      <c r="R229" t="str">
        <f t="shared" si="13"/>
        <v/>
      </c>
      <c r="S229" s="26" t="str" cm="1">
        <f t="array" aca="1" ref="S229" ca="1">IFERROR(INDIRECT(D229&amp;"!R4"),"")</f>
        <v/>
      </c>
      <c r="V229" s="26"/>
    </row>
    <row r="230" spans="12:22" x14ac:dyDescent="0.25">
      <c r="L230" s="33" cm="1">
        <f t="array" ref="L230">SUMPRODUCT(('Transaction Glossary'!F$5:F$999=D230)*('Transaction Glossary'!J$5:J$999))</f>
        <v>0</v>
      </c>
      <c r="M230" s="17" cm="1">
        <f t="array" ref="M230">SUMPRODUCT(('Transaction Glossary'!F$5:F$999=D230)*('Transaction Glossary'!K$5:K$999))</f>
        <v>0</v>
      </c>
      <c r="N230" s="17" cm="1">
        <f t="array" ref="N230">SUMPRODUCT(('Transaction Glossary'!F$5:F$999=D230)*('Transaction Glossary'!E$5:E$999="Dividend")*('Transaction Glossary'!K$5:K$999))</f>
        <v>0</v>
      </c>
      <c r="P230" s="17">
        <f t="shared" si="11"/>
        <v>0</v>
      </c>
      <c r="Q230" s="33">
        <f t="shared" si="12"/>
        <v>0</v>
      </c>
      <c r="R230" t="str">
        <f t="shared" si="13"/>
        <v/>
      </c>
      <c r="S230" s="26" t="str" cm="1">
        <f t="array" aca="1" ref="S230" ca="1">IFERROR(INDIRECT(D230&amp;"!R4"),"")</f>
        <v/>
      </c>
      <c r="V230" s="26"/>
    </row>
    <row r="231" spans="12:22" x14ac:dyDescent="0.25">
      <c r="L231" s="33" cm="1">
        <f t="array" ref="L231">SUMPRODUCT(('Transaction Glossary'!F$5:F$999=D231)*('Transaction Glossary'!J$5:J$999))</f>
        <v>0</v>
      </c>
      <c r="M231" s="17" cm="1">
        <f t="array" ref="M231">SUMPRODUCT(('Transaction Glossary'!F$5:F$999=D231)*('Transaction Glossary'!K$5:K$999))</f>
        <v>0</v>
      </c>
      <c r="N231" s="17" cm="1">
        <f t="array" ref="N231">SUMPRODUCT(('Transaction Glossary'!F$5:F$999=D231)*('Transaction Glossary'!E$5:E$999="Dividend")*('Transaction Glossary'!K$5:K$999))</f>
        <v>0</v>
      </c>
      <c r="P231" s="17">
        <f t="shared" si="11"/>
        <v>0</v>
      </c>
      <c r="Q231" s="33">
        <f t="shared" si="12"/>
        <v>0</v>
      </c>
      <c r="R231" t="str">
        <f t="shared" si="13"/>
        <v/>
      </c>
      <c r="S231" s="26" t="str" cm="1">
        <f t="array" aca="1" ref="S231" ca="1">IFERROR(INDIRECT(D231&amp;"!R4"),"")</f>
        <v/>
      </c>
      <c r="V231" s="26"/>
    </row>
    <row r="232" spans="12:22" x14ac:dyDescent="0.25">
      <c r="L232" s="33" cm="1">
        <f t="array" ref="L232">SUMPRODUCT(('Transaction Glossary'!F$5:F$999=D232)*('Transaction Glossary'!J$5:J$999))</f>
        <v>0</v>
      </c>
      <c r="M232" s="17" cm="1">
        <f t="array" ref="M232">SUMPRODUCT(('Transaction Glossary'!F$5:F$999=D232)*('Transaction Glossary'!K$5:K$999))</f>
        <v>0</v>
      </c>
      <c r="N232" s="17" cm="1">
        <f t="array" ref="N232">SUMPRODUCT(('Transaction Glossary'!F$5:F$999=D232)*('Transaction Glossary'!E$5:E$999="Dividend")*('Transaction Glossary'!K$5:K$999))</f>
        <v>0</v>
      </c>
      <c r="P232" s="17">
        <f t="shared" si="11"/>
        <v>0</v>
      </c>
      <c r="Q232" s="33">
        <f t="shared" si="12"/>
        <v>0</v>
      </c>
      <c r="R232" t="str">
        <f t="shared" si="13"/>
        <v/>
      </c>
      <c r="S232" s="26" t="str" cm="1">
        <f t="array" aca="1" ref="S232" ca="1">IFERROR(INDIRECT(D232&amp;"!R4"),"")</f>
        <v/>
      </c>
      <c r="V232" s="26"/>
    </row>
    <row r="233" spans="12:22" x14ac:dyDescent="0.25">
      <c r="L233" s="33" cm="1">
        <f t="array" ref="L233">SUMPRODUCT(('Transaction Glossary'!F$5:F$999=D233)*('Transaction Glossary'!J$5:J$999))</f>
        <v>0</v>
      </c>
      <c r="M233" s="17" cm="1">
        <f t="array" ref="M233">SUMPRODUCT(('Transaction Glossary'!F$5:F$999=D233)*('Transaction Glossary'!K$5:K$999))</f>
        <v>0</v>
      </c>
      <c r="N233" s="17" cm="1">
        <f t="array" ref="N233">SUMPRODUCT(('Transaction Glossary'!F$5:F$999=D233)*('Transaction Glossary'!E$5:E$999="Dividend")*('Transaction Glossary'!K$5:K$999))</f>
        <v>0</v>
      </c>
      <c r="P233" s="17">
        <f t="shared" si="11"/>
        <v>0</v>
      </c>
      <c r="Q233" s="33">
        <f t="shared" si="12"/>
        <v>0</v>
      </c>
      <c r="R233" t="str">
        <f t="shared" si="13"/>
        <v/>
      </c>
      <c r="S233" s="26" t="str" cm="1">
        <f t="array" aca="1" ref="S233" ca="1">IFERROR(INDIRECT(D233&amp;"!R4"),"")</f>
        <v/>
      </c>
      <c r="V233" s="26"/>
    </row>
    <row r="234" spans="12:22" x14ac:dyDescent="0.25">
      <c r="L234" s="33" cm="1">
        <f t="array" ref="L234">SUMPRODUCT(('Transaction Glossary'!F$5:F$999=D234)*('Transaction Glossary'!J$5:J$999))</f>
        <v>0</v>
      </c>
      <c r="M234" s="17" cm="1">
        <f t="array" ref="M234">SUMPRODUCT(('Transaction Glossary'!F$5:F$999=D234)*('Transaction Glossary'!K$5:K$999))</f>
        <v>0</v>
      </c>
      <c r="N234" s="17" cm="1">
        <f t="array" ref="N234">SUMPRODUCT(('Transaction Glossary'!F$5:F$999=D234)*('Transaction Glossary'!E$5:E$999="Dividend")*('Transaction Glossary'!K$5:K$999))</f>
        <v>0</v>
      </c>
      <c r="P234" s="17">
        <f t="shared" si="11"/>
        <v>0</v>
      </c>
      <c r="Q234" s="33">
        <f t="shared" si="12"/>
        <v>0</v>
      </c>
      <c r="R234" t="str">
        <f t="shared" si="13"/>
        <v/>
      </c>
      <c r="S234" s="26" t="str" cm="1">
        <f t="array" aca="1" ref="S234" ca="1">IFERROR(INDIRECT(D234&amp;"!R4"),"")</f>
        <v/>
      </c>
      <c r="V234" s="26"/>
    </row>
    <row r="235" spans="12:22" x14ac:dyDescent="0.25">
      <c r="L235" s="33" cm="1">
        <f t="array" ref="L235">SUMPRODUCT(('Transaction Glossary'!F$5:F$999=D235)*('Transaction Glossary'!J$5:J$999))</f>
        <v>0</v>
      </c>
      <c r="M235" s="17" cm="1">
        <f t="array" ref="M235">SUMPRODUCT(('Transaction Glossary'!F$5:F$999=D235)*('Transaction Glossary'!K$5:K$999))</f>
        <v>0</v>
      </c>
      <c r="N235" s="17" cm="1">
        <f t="array" ref="N235">SUMPRODUCT(('Transaction Glossary'!F$5:F$999=D235)*('Transaction Glossary'!E$5:E$999="Dividend")*('Transaction Glossary'!K$5:K$999))</f>
        <v>0</v>
      </c>
      <c r="P235" s="17">
        <f t="shared" si="11"/>
        <v>0</v>
      </c>
      <c r="Q235" s="33">
        <f t="shared" si="12"/>
        <v>0</v>
      </c>
      <c r="R235" t="str">
        <f t="shared" si="13"/>
        <v/>
      </c>
      <c r="S235" s="26" t="str" cm="1">
        <f t="array" aca="1" ref="S235" ca="1">IFERROR(INDIRECT(D235&amp;"!R4"),"")</f>
        <v/>
      </c>
      <c r="V235" s="26"/>
    </row>
    <row r="236" spans="12:22" x14ac:dyDescent="0.25">
      <c r="L236" s="33" cm="1">
        <f t="array" ref="L236">SUMPRODUCT(('Transaction Glossary'!F$5:F$999=D236)*('Transaction Glossary'!J$5:J$999))</f>
        <v>0</v>
      </c>
      <c r="M236" s="17" cm="1">
        <f t="array" ref="M236">SUMPRODUCT(('Transaction Glossary'!F$5:F$999=D236)*('Transaction Glossary'!K$5:K$999))</f>
        <v>0</v>
      </c>
      <c r="N236" s="17" cm="1">
        <f t="array" ref="N236">SUMPRODUCT(('Transaction Glossary'!F$5:F$999=D236)*('Transaction Glossary'!E$5:E$999="Dividend")*('Transaction Glossary'!K$5:K$999))</f>
        <v>0</v>
      </c>
      <c r="P236" s="17">
        <f t="shared" si="11"/>
        <v>0</v>
      </c>
      <c r="Q236" s="33">
        <f t="shared" si="12"/>
        <v>0</v>
      </c>
      <c r="R236" t="str">
        <f t="shared" si="13"/>
        <v/>
      </c>
      <c r="S236" s="26" t="str" cm="1">
        <f t="array" aca="1" ref="S236" ca="1">IFERROR(INDIRECT(D236&amp;"!R4"),"")</f>
        <v/>
      </c>
      <c r="V236" s="26"/>
    </row>
    <row r="237" spans="12:22" x14ac:dyDescent="0.25">
      <c r="L237" s="33" cm="1">
        <f t="array" ref="L237">SUMPRODUCT(('Transaction Glossary'!F$5:F$999=D237)*('Transaction Glossary'!J$5:J$999))</f>
        <v>0</v>
      </c>
      <c r="M237" s="17" cm="1">
        <f t="array" ref="M237">SUMPRODUCT(('Transaction Glossary'!F$5:F$999=D237)*('Transaction Glossary'!K$5:K$999))</f>
        <v>0</v>
      </c>
      <c r="N237" s="17" cm="1">
        <f t="array" ref="N237">SUMPRODUCT(('Transaction Glossary'!F$5:F$999=D237)*('Transaction Glossary'!E$5:E$999="Dividend")*('Transaction Glossary'!K$5:K$999))</f>
        <v>0</v>
      </c>
      <c r="P237" s="17">
        <f t="shared" si="11"/>
        <v>0</v>
      </c>
      <c r="Q237" s="33">
        <f t="shared" si="12"/>
        <v>0</v>
      </c>
      <c r="R237" t="str">
        <f t="shared" si="13"/>
        <v/>
      </c>
      <c r="S237" s="26" t="str" cm="1">
        <f t="array" aca="1" ref="S237" ca="1">IFERROR(INDIRECT(D237&amp;"!R4"),"")</f>
        <v/>
      </c>
      <c r="V237" s="26"/>
    </row>
    <row r="238" spans="12:22" x14ac:dyDescent="0.25">
      <c r="L238" s="33" cm="1">
        <f t="array" ref="L238">SUMPRODUCT(('Transaction Glossary'!F$5:F$999=D238)*('Transaction Glossary'!J$5:J$999))</f>
        <v>0</v>
      </c>
      <c r="M238" s="17" cm="1">
        <f t="array" ref="M238">SUMPRODUCT(('Transaction Glossary'!F$5:F$999=D238)*('Transaction Glossary'!K$5:K$999))</f>
        <v>0</v>
      </c>
      <c r="N238" s="17" cm="1">
        <f t="array" ref="N238">SUMPRODUCT(('Transaction Glossary'!F$5:F$999=D238)*('Transaction Glossary'!E$5:E$999="Dividend")*('Transaction Glossary'!K$5:K$999))</f>
        <v>0</v>
      </c>
      <c r="P238" s="17">
        <f t="shared" si="11"/>
        <v>0</v>
      </c>
      <c r="Q238" s="33">
        <f t="shared" si="12"/>
        <v>0</v>
      </c>
      <c r="R238" t="str">
        <f t="shared" si="13"/>
        <v/>
      </c>
      <c r="S238" s="26" t="str" cm="1">
        <f t="array" aca="1" ref="S238" ca="1">IFERROR(INDIRECT(D238&amp;"!R4"),"")</f>
        <v/>
      </c>
      <c r="V238" s="26"/>
    </row>
    <row r="239" spans="12:22" x14ac:dyDescent="0.25">
      <c r="L239" s="33" cm="1">
        <f t="array" ref="L239">SUMPRODUCT(('Transaction Glossary'!F$5:F$999=D239)*('Transaction Glossary'!J$5:J$999))</f>
        <v>0</v>
      </c>
      <c r="M239" s="17" cm="1">
        <f t="array" ref="M239">SUMPRODUCT(('Transaction Glossary'!F$5:F$999=D239)*('Transaction Glossary'!K$5:K$999))</f>
        <v>0</v>
      </c>
      <c r="N239" s="17" cm="1">
        <f t="array" ref="N239">SUMPRODUCT(('Transaction Glossary'!F$5:F$999=D239)*('Transaction Glossary'!E$5:E$999="Dividend")*('Transaction Glossary'!K$5:K$999))</f>
        <v>0</v>
      </c>
      <c r="P239" s="17">
        <f t="shared" si="11"/>
        <v>0</v>
      </c>
      <c r="Q239" s="33">
        <f t="shared" si="12"/>
        <v>0</v>
      </c>
      <c r="R239" t="str">
        <f t="shared" si="13"/>
        <v/>
      </c>
      <c r="S239" s="26" t="str" cm="1">
        <f t="array" aca="1" ref="S239" ca="1">IFERROR(INDIRECT(D239&amp;"!R4"),"")</f>
        <v/>
      </c>
      <c r="V239" s="26"/>
    </row>
    <row r="240" spans="12:22" x14ac:dyDescent="0.25">
      <c r="L240" s="33" cm="1">
        <f t="array" ref="L240">SUMPRODUCT(('Transaction Glossary'!F$5:F$999=D240)*('Transaction Glossary'!J$5:J$999))</f>
        <v>0</v>
      </c>
      <c r="M240" s="17" cm="1">
        <f t="array" ref="M240">SUMPRODUCT(('Transaction Glossary'!F$5:F$999=D240)*('Transaction Glossary'!K$5:K$999))</f>
        <v>0</v>
      </c>
      <c r="N240" s="17" cm="1">
        <f t="array" ref="N240">SUMPRODUCT(('Transaction Glossary'!F$5:F$999=D240)*('Transaction Glossary'!E$5:E$999="Dividend")*('Transaction Glossary'!K$5:K$999))</f>
        <v>0</v>
      </c>
      <c r="P240" s="17">
        <f t="shared" si="11"/>
        <v>0</v>
      </c>
      <c r="Q240" s="33">
        <f t="shared" si="12"/>
        <v>0</v>
      </c>
      <c r="R240" t="str">
        <f t="shared" si="13"/>
        <v/>
      </c>
      <c r="S240" s="26" t="str" cm="1">
        <f t="array" aca="1" ref="S240" ca="1">IFERROR(INDIRECT(D240&amp;"!R4"),"")</f>
        <v/>
      </c>
      <c r="V240" s="26"/>
    </row>
    <row r="241" spans="1:27" x14ac:dyDescent="0.25">
      <c r="L241" s="33" cm="1">
        <f t="array" ref="L241">SUMPRODUCT(('Transaction Glossary'!F$5:F$999=D241)*('Transaction Glossary'!J$5:J$999))</f>
        <v>0</v>
      </c>
      <c r="M241" s="17" cm="1">
        <f t="array" ref="M241">SUMPRODUCT(('Transaction Glossary'!F$5:F$999=D241)*('Transaction Glossary'!K$5:K$999))</f>
        <v>0</v>
      </c>
      <c r="N241" s="17" cm="1">
        <f t="array" ref="N241">SUMPRODUCT(('Transaction Glossary'!F$5:F$999=D241)*('Transaction Glossary'!E$5:E$999="Dividend")*('Transaction Glossary'!K$5:K$999))</f>
        <v>0</v>
      </c>
      <c r="P241" s="17">
        <f t="shared" si="11"/>
        <v>0</v>
      </c>
      <c r="Q241" s="33">
        <f t="shared" si="12"/>
        <v>0</v>
      </c>
      <c r="R241" t="str">
        <f t="shared" si="13"/>
        <v/>
      </c>
      <c r="S241" s="26" t="str" cm="1">
        <f t="array" aca="1" ref="S241" ca="1">IFERROR(INDIRECT(D241&amp;"!R4"),"")</f>
        <v/>
      </c>
      <c r="V241" s="26"/>
    </row>
    <row r="242" spans="1:27" x14ac:dyDescent="0.25">
      <c r="L242" s="33" cm="1">
        <f t="array" ref="L242">SUMPRODUCT(('Transaction Glossary'!F$5:F$999=D242)*('Transaction Glossary'!J$5:J$999))</f>
        <v>0</v>
      </c>
      <c r="M242" s="17" cm="1">
        <f t="array" ref="M242">SUMPRODUCT(('Transaction Glossary'!F$5:F$999=D242)*('Transaction Glossary'!K$5:K$999))</f>
        <v>0</v>
      </c>
      <c r="N242" s="17" cm="1">
        <f t="array" ref="N242">SUMPRODUCT(('Transaction Glossary'!F$5:F$999=D242)*('Transaction Glossary'!E$5:E$999="Dividend")*('Transaction Glossary'!K$5:K$999))</f>
        <v>0</v>
      </c>
      <c r="P242" s="17">
        <f t="shared" si="11"/>
        <v>0</v>
      </c>
      <c r="Q242" s="33">
        <f t="shared" si="12"/>
        <v>0</v>
      </c>
      <c r="R242" t="str">
        <f t="shared" si="13"/>
        <v/>
      </c>
      <c r="S242" s="26" t="str" cm="1">
        <f t="array" aca="1" ref="S242" ca="1">IFERROR(INDIRECT(D242&amp;"!R4"),"")</f>
        <v/>
      </c>
      <c r="V242" s="26"/>
    </row>
    <row r="243" spans="1:27" x14ac:dyDescent="0.25">
      <c r="L243" s="33" cm="1">
        <f t="array" ref="L243">SUMPRODUCT(('Transaction Glossary'!F$5:F$999=D243)*('Transaction Glossary'!J$5:J$999))</f>
        <v>0</v>
      </c>
      <c r="M243" s="17" cm="1">
        <f t="array" ref="M243">SUMPRODUCT(('Transaction Glossary'!F$5:F$999=D243)*('Transaction Glossary'!K$5:K$999))</f>
        <v>0</v>
      </c>
      <c r="N243" s="17" cm="1">
        <f t="array" ref="N243">SUMPRODUCT(('Transaction Glossary'!F$5:F$999=D243)*('Transaction Glossary'!E$5:E$999="Dividend")*('Transaction Glossary'!K$5:K$999))</f>
        <v>0</v>
      </c>
      <c r="P243" s="17">
        <f t="shared" si="11"/>
        <v>0</v>
      </c>
      <c r="Q243" s="33">
        <f t="shared" si="12"/>
        <v>0</v>
      </c>
      <c r="R243" t="str">
        <f t="shared" si="13"/>
        <v/>
      </c>
      <c r="S243" s="26" t="str" cm="1">
        <f t="array" aca="1" ref="S243" ca="1">IFERROR(INDIRECT(D243&amp;"!R4"),"")</f>
        <v/>
      </c>
      <c r="V243" s="26"/>
    </row>
    <row r="244" spans="1:27" x14ac:dyDescent="0.25">
      <c r="L244" s="33" cm="1">
        <f t="array" ref="L244">SUMPRODUCT(('Transaction Glossary'!F$5:F$999=D244)*('Transaction Glossary'!J$5:J$999))</f>
        <v>0</v>
      </c>
      <c r="M244" s="17" cm="1">
        <f t="array" ref="M244">SUMPRODUCT(('Transaction Glossary'!F$5:F$999=D244)*('Transaction Glossary'!K$5:K$999))</f>
        <v>0</v>
      </c>
      <c r="N244" s="17" cm="1">
        <f t="array" ref="N244">SUMPRODUCT(('Transaction Glossary'!F$5:F$999=D244)*('Transaction Glossary'!E$5:E$999="Dividend")*('Transaction Glossary'!K$5:K$999))</f>
        <v>0</v>
      </c>
      <c r="P244" s="17">
        <f t="shared" si="11"/>
        <v>0</v>
      </c>
      <c r="Q244" s="33">
        <f t="shared" si="12"/>
        <v>0</v>
      </c>
      <c r="R244" t="str">
        <f t="shared" si="13"/>
        <v/>
      </c>
      <c r="S244" s="26" t="str" cm="1">
        <f t="array" aca="1" ref="S244" ca="1">IFERROR(INDIRECT(D244&amp;"!R4"),"")</f>
        <v/>
      </c>
      <c r="V244" s="26"/>
    </row>
    <row r="245" spans="1:27" x14ac:dyDescent="0.25">
      <c r="L245" s="33" cm="1">
        <f t="array" ref="L245">SUMPRODUCT(('Transaction Glossary'!F$5:F$999=D245)*('Transaction Glossary'!J$5:J$999))</f>
        <v>0</v>
      </c>
      <c r="M245" s="17" cm="1">
        <f t="array" ref="M245">SUMPRODUCT(('Transaction Glossary'!F$5:F$999=D245)*('Transaction Glossary'!K$5:K$999))</f>
        <v>0</v>
      </c>
      <c r="N245" s="17" cm="1">
        <f t="array" ref="N245">SUMPRODUCT(('Transaction Glossary'!F$5:F$999=D245)*('Transaction Glossary'!E$5:E$999="Dividend")*('Transaction Glossary'!K$5:K$999))</f>
        <v>0</v>
      </c>
      <c r="P245" s="17">
        <f t="shared" si="11"/>
        <v>0</v>
      </c>
      <c r="Q245" s="33">
        <f t="shared" si="12"/>
        <v>0</v>
      </c>
      <c r="R245" t="str">
        <f t="shared" si="13"/>
        <v/>
      </c>
      <c r="S245" s="26" t="str" cm="1">
        <f t="array" aca="1" ref="S245" ca="1">IFERROR(INDIRECT(D245&amp;"!R4"),"")</f>
        <v/>
      </c>
      <c r="V245" s="26"/>
    </row>
    <row r="246" spans="1:27" x14ac:dyDescent="0.25">
      <c r="L246" s="33" cm="1">
        <f t="array" ref="L246">SUMPRODUCT(('Transaction Glossary'!F$5:F$999=D246)*('Transaction Glossary'!J$5:J$999))</f>
        <v>0</v>
      </c>
      <c r="M246" s="17" cm="1">
        <f t="array" ref="M246">SUMPRODUCT(('Transaction Glossary'!F$5:F$999=D246)*('Transaction Glossary'!K$5:K$999))</f>
        <v>0</v>
      </c>
      <c r="N246" s="17" cm="1">
        <f t="array" ref="N246">SUMPRODUCT(('Transaction Glossary'!F$5:F$999=D246)*('Transaction Glossary'!E$5:E$999="Dividend")*('Transaction Glossary'!K$5:K$999))</f>
        <v>0</v>
      </c>
      <c r="P246" s="17">
        <f t="shared" si="11"/>
        <v>0</v>
      </c>
      <c r="Q246" s="33">
        <f t="shared" si="12"/>
        <v>0</v>
      </c>
      <c r="R246" t="str">
        <f t="shared" si="13"/>
        <v/>
      </c>
      <c r="S246" s="26" t="str" cm="1">
        <f t="array" aca="1" ref="S246" ca="1">IFERROR(INDIRECT(D246&amp;"!R4"),"")</f>
        <v/>
      </c>
      <c r="V246" s="26"/>
    </row>
    <row r="247" spans="1:27" x14ac:dyDescent="0.25">
      <c r="L247" s="33" cm="1">
        <f t="array" ref="L247">SUMPRODUCT(('Transaction Glossary'!F$5:F$999=D247)*('Transaction Glossary'!J$5:J$999))</f>
        <v>0</v>
      </c>
      <c r="M247" s="17" cm="1">
        <f t="array" ref="M247">SUMPRODUCT(('Transaction Glossary'!F$5:F$999=D247)*('Transaction Glossary'!K$5:K$999))</f>
        <v>0</v>
      </c>
      <c r="N247" s="17" cm="1">
        <f t="array" ref="N247">SUMPRODUCT(('Transaction Glossary'!F$5:F$999=D247)*('Transaction Glossary'!E$5:E$999="Dividend")*('Transaction Glossary'!K$5:K$999))</f>
        <v>0</v>
      </c>
      <c r="P247" s="17">
        <f t="shared" si="11"/>
        <v>0</v>
      </c>
      <c r="Q247" s="33">
        <f t="shared" si="12"/>
        <v>0</v>
      </c>
      <c r="R247" t="str">
        <f t="shared" si="13"/>
        <v/>
      </c>
      <c r="S247" s="26" t="str" cm="1">
        <f t="array" aca="1" ref="S247" ca="1">IFERROR(INDIRECT(D247&amp;"!R4"),"")</f>
        <v/>
      </c>
      <c r="V247" s="26"/>
    </row>
    <row r="248" spans="1:27" x14ac:dyDescent="0.25">
      <c r="L248" s="33" cm="1">
        <f t="array" ref="L248">SUMPRODUCT(('Transaction Glossary'!F$5:F$999=D248)*('Transaction Glossary'!J$5:J$999))</f>
        <v>0</v>
      </c>
      <c r="M248" s="17" cm="1">
        <f t="array" ref="M248">SUMPRODUCT(('Transaction Glossary'!F$5:F$999=D248)*('Transaction Glossary'!K$5:K$999))</f>
        <v>0</v>
      </c>
      <c r="N248" s="17" cm="1">
        <f t="array" ref="N248">SUMPRODUCT(('Transaction Glossary'!F$5:F$999=D248)*('Transaction Glossary'!E$5:E$999="Dividend")*('Transaction Glossary'!K$5:K$999))</f>
        <v>0</v>
      </c>
      <c r="P248" s="17">
        <f t="shared" si="11"/>
        <v>0</v>
      </c>
      <c r="Q248" s="33">
        <f t="shared" si="12"/>
        <v>0</v>
      </c>
      <c r="R248" t="str">
        <f t="shared" si="13"/>
        <v/>
      </c>
      <c r="S248" s="26" t="str" cm="1">
        <f t="array" aca="1" ref="S248" ca="1">IFERROR(INDIRECT(D248&amp;"!R4"),"")</f>
        <v/>
      </c>
      <c r="V248" s="26"/>
    </row>
    <row r="249" spans="1:27" x14ac:dyDescent="0.25">
      <c r="L249" s="33" cm="1">
        <f t="array" ref="L249">SUMPRODUCT(('Transaction Glossary'!F$5:F$999=D249)*('Transaction Glossary'!J$5:J$999))</f>
        <v>0</v>
      </c>
      <c r="M249" s="17" cm="1">
        <f t="array" ref="M249">SUMPRODUCT(('Transaction Glossary'!F$5:F$999=D249)*('Transaction Glossary'!K$5:K$999))</f>
        <v>0</v>
      </c>
      <c r="N249" s="17" cm="1">
        <f t="array" ref="N249">SUMPRODUCT(('Transaction Glossary'!F$5:F$999=D249)*('Transaction Glossary'!E$5:E$999="Dividend")*('Transaction Glossary'!K$5:K$999))</f>
        <v>0</v>
      </c>
      <c r="P249" s="17">
        <f t="shared" si="11"/>
        <v>0</v>
      </c>
      <c r="Q249" s="33">
        <f t="shared" si="12"/>
        <v>0</v>
      </c>
      <c r="R249" t="str">
        <f t="shared" si="13"/>
        <v/>
      </c>
      <c r="S249" s="26" t="str" cm="1">
        <f t="array" aca="1" ref="S249" ca="1">IFERROR(INDIRECT(D249&amp;"!R4"),"")</f>
        <v/>
      </c>
      <c r="V249" s="26"/>
    </row>
    <row r="250" spans="1:27" x14ac:dyDescent="0.25">
      <c r="L250" s="33" cm="1">
        <f t="array" ref="L250">SUMPRODUCT(('Transaction Glossary'!F$5:F$999=D250)*('Transaction Glossary'!J$5:J$999))</f>
        <v>0</v>
      </c>
      <c r="M250" s="17" cm="1">
        <f t="array" ref="M250">SUMPRODUCT(('Transaction Glossary'!F$5:F$999=D250)*('Transaction Glossary'!K$5:K$999))</f>
        <v>0</v>
      </c>
      <c r="N250" s="17" cm="1">
        <f t="array" ref="N250">SUMPRODUCT(('Transaction Glossary'!F$5:F$999=D250)*('Transaction Glossary'!E$5:E$999="Dividend")*('Transaction Glossary'!K$5:K$999))</f>
        <v>0</v>
      </c>
      <c r="P250" s="17">
        <f t="shared" si="11"/>
        <v>0</v>
      </c>
      <c r="Q250" s="33">
        <f t="shared" si="12"/>
        <v>0</v>
      </c>
      <c r="R250" t="str">
        <f t="shared" si="13"/>
        <v/>
      </c>
      <c r="S250" s="26" t="str" cm="1">
        <f t="array" aca="1" ref="S250" ca="1">IFERROR(INDIRECT(D250&amp;"!R4"),"")</f>
        <v/>
      </c>
      <c r="V250" s="26"/>
    </row>
    <row r="251" spans="1:27" x14ac:dyDescent="0.25">
      <c r="L251" s="33" cm="1">
        <f t="array" ref="L251">SUMPRODUCT(('Transaction Glossary'!F$5:F$999=D251)*('Transaction Glossary'!J$5:J$999))</f>
        <v>0</v>
      </c>
      <c r="M251" s="17" cm="1">
        <f t="array" ref="M251">SUMPRODUCT(('Transaction Glossary'!F$5:F$999=D251)*('Transaction Glossary'!K$5:K$999))</f>
        <v>0</v>
      </c>
      <c r="N251" s="17" cm="1">
        <f t="array" ref="N251">SUMPRODUCT(('Transaction Glossary'!F$5:F$999=D251)*('Transaction Glossary'!E$5:E$999="Dividend")*('Transaction Glossary'!K$5:K$999))</f>
        <v>0</v>
      </c>
      <c r="P251" s="17">
        <f t="shared" si="11"/>
        <v>0</v>
      </c>
      <c r="Q251" s="33">
        <f t="shared" si="12"/>
        <v>0</v>
      </c>
      <c r="R251" t="str">
        <f t="shared" si="13"/>
        <v/>
      </c>
      <c r="S251" s="26" t="str" cm="1">
        <f t="array" aca="1" ref="S251" ca="1">IFERROR(INDIRECT(D251&amp;"!R4"),"")</f>
        <v/>
      </c>
      <c r="V251" s="26"/>
    </row>
    <row r="252" spans="1:27" x14ac:dyDescent="0.25">
      <c r="L252" s="33" cm="1">
        <f t="array" ref="L252">SUMPRODUCT(('Transaction Glossary'!F$5:F$999=D252)*('Transaction Glossary'!J$5:J$999))</f>
        <v>0</v>
      </c>
      <c r="M252" s="17" cm="1">
        <f t="array" ref="M252">SUMPRODUCT(('Transaction Glossary'!F$5:F$999=D252)*('Transaction Glossary'!K$5:K$999))</f>
        <v>0</v>
      </c>
      <c r="N252" s="17" cm="1">
        <f t="array" ref="N252">SUMPRODUCT(('Transaction Glossary'!F$5:F$999=D252)*('Transaction Glossary'!E$5:E$999="Dividend")*('Transaction Glossary'!K$5:K$999))</f>
        <v>0</v>
      </c>
      <c r="P252" s="17">
        <f t="shared" si="11"/>
        <v>0</v>
      </c>
      <c r="Q252" s="33">
        <f t="shared" si="12"/>
        <v>0</v>
      </c>
      <c r="R252" t="str">
        <f t="shared" si="13"/>
        <v/>
      </c>
      <c r="S252" s="26" t="str" cm="1">
        <f t="array" aca="1" ref="S252" ca="1">IFERROR(INDIRECT(D252&amp;"!R4"),"")</f>
        <v/>
      </c>
      <c r="V252" s="26"/>
    </row>
    <row r="253" spans="1:27" x14ac:dyDescent="0.25">
      <c r="A253" t="s">
        <v>49</v>
      </c>
      <c r="B253" t="s">
        <v>49</v>
      </c>
      <c r="C253" t="s">
        <v>49</v>
      </c>
      <c r="D253" t="s">
        <v>49</v>
      </c>
      <c r="E253" t="s">
        <v>49</v>
      </c>
      <c r="F253" t="s">
        <v>49</v>
      </c>
      <c r="G253" t="s">
        <v>49</v>
      </c>
      <c r="H253" t="s">
        <v>49</v>
      </c>
      <c r="I253" t="s">
        <v>49</v>
      </c>
      <c r="J253" t="s">
        <v>49</v>
      </c>
      <c r="K253" t="s">
        <v>49</v>
      </c>
      <c r="L253" t="s">
        <v>49</v>
      </c>
      <c r="M253" t="s">
        <v>49</v>
      </c>
      <c r="N253" t="s">
        <v>49</v>
      </c>
      <c r="O253" t="s">
        <v>49</v>
      </c>
      <c r="P253" t="s">
        <v>49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</row>
  </sheetData>
  <mergeCells count="4">
    <mergeCell ref="C2:F2"/>
    <mergeCell ref="X2:AB2"/>
    <mergeCell ref="P2:V2"/>
    <mergeCell ref="H2:J2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F9D58-5C92-44CE-BEA8-7211F94352EC}">
  <dimension ref="C3:S12"/>
  <sheetViews>
    <sheetView zoomScale="77" zoomScaleNormal="390" workbookViewId="0">
      <selection activeCell="J13" sqref="J13"/>
    </sheetView>
  </sheetViews>
  <sheetFormatPr defaultRowHeight="15" x14ac:dyDescent="0.25"/>
  <cols>
    <col min="1" max="2" width="2.140625" customWidth="1"/>
    <col min="3" max="3" width="8.5703125" customWidth="1"/>
    <col min="4" max="4" width="18.140625" customWidth="1"/>
    <col min="5" max="5" width="15.85546875" customWidth="1"/>
    <col min="6" max="6" width="8.85546875" customWidth="1"/>
    <col min="7" max="7" width="52.85546875" customWidth="1"/>
    <col min="8" max="8" width="11" style="11" customWidth="1"/>
    <col min="9" max="11" width="16.140625" customWidth="1"/>
    <col min="12" max="12" width="16.140625" style="20" customWidth="1"/>
    <col min="13" max="13" width="16.140625" customWidth="1"/>
    <col min="14" max="14" width="14.28515625" customWidth="1"/>
    <col min="15" max="15" width="13.5703125" customWidth="1"/>
    <col min="16" max="16" width="12.5703125" customWidth="1"/>
    <col min="17" max="17" width="2.140625" customWidth="1"/>
    <col min="18" max="18" width="30.140625" customWidth="1"/>
    <col min="19" max="19" width="16.140625" customWidth="1"/>
    <col min="20" max="20" width="11" customWidth="1"/>
    <col min="23" max="23" width="11.42578125" customWidth="1"/>
    <col min="24" max="24" width="15.140625" customWidth="1"/>
    <col min="25" max="26" width="16" customWidth="1"/>
    <col min="27" max="27" width="18.42578125" customWidth="1"/>
  </cols>
  <sheetData>
    <row r="3" spans="3:19" ht="15.75" x14ac:dyDescent="0.25">
      <c r="C3" s="10" t="s">
        <v>20</v>
      </c>
      <c r="D3" s="3"/>
      <c r="E3" s="4"/>
      <c r="F3" s="4"/>
      <c r="G3" s="4"/>
      <c r="H3" s="42"/>
      <c r="I3" s="4"/>
      <c r="J3" s="4"/>
      <c r="K3" s="4"/>
      <c r="L3" s="21"/>
      <c r="M3" s="4"/>
      <c r="N3" s="4"/>
      <c r="O3" s="4"/>
      <c r="P3" s="4"/>
      <c r="Q3" s="6"/>
      <c r="R3" s="7" t="s">
        <v>17</v>
      </c>
      <c r="S3" s="8">
        <f>SUM(K5:K7)</f>
        <v>0</v>
      </c>
    </row>
    <row r="4" spans="3:19" x14ac:dyDescent="0.25">
      <c r="C4" s="15" t="s">
        <v>25</v>
      </c>
      <c r="D4" s="15" t="s">
        <v>2</v>
      </c>
      <c r="E4" s="15" t="s">
        <v>21</v>
      </c>
      <c r="F4" s="15" t="s">
        <v>10</v>
      </c>
      <c r="G4" s="15" t="s">
        <v>22</v>
      </c>
      <c r="H4" s="43" t="s">
        <v>26</v>
      </c>
      <c r="I4" s="16" t="s">
        <v>23</v>
      </c>
      <c r="J4" s="16" t="s">
        <v>3</v>
      </c>
      <c r="K4" s="16" t="s">
        <v>24</v>
      </c>
      <c r="L4" s="22" t="s">
        <v>11</v>
      </c>
      <c r="M4" s="16" t="s">
        <v>13</v>
      </c>
      <c r="N4" s="16" t="s">
        <v>14</v>
      </c>
      <c r="O4" s="16" t="s">
        <v>15</v>
      </c>
      <c r="P4" s="16" t="s">
        <v>12</v>
      </c>
      <c r="Q4" s="6"/>
      <c r="R4" s="7" t="s">
        <v>16</v>
      </c>
      <c r="S4" s="7"/>
    </row>
    <row r="5" spans="3:19" x14ac:dyDescent="0.25">
      <c r="D5" s="9"/>
      <c r="I5" s="13"/>
      <c r="J5" s="12"/>
      <c r="K5" s="13"/>
      <c r="L5" s="23"/>
      <c r="Q5" s="6"/>
      <c r="R5" s="7" t="s">
        <v>18</v>
      </c>
      <c r="S5" s="7"/>
    </row>
    <row r="6" spans="3:19" ht="15.75" thickBot="1" x14ac:dyDescent="0.3">
      <c r="D6" s="9"/>
      <c r="I6" s="13"/>
      <c r="J6" s="12"/>
      <c r="K6" s="14"/>
      <c r="L6" s="23"/>
      <c r="Q6" s="6"/>
      <c r="R6" s="18" t="s">
        <v>19</v>
      </c>
      <c r="S6" s="18"/>
    </row>
    <row r="7" spans="3:19" ht="15.75" thickTop="1" x14ac:dyDescent="0.25">
      <c r="D7" s="9"/>
      <c r="I7" s="13"/>
      <c r="J7" s="12"/>
      <c r="K7" s="13"/>
      <c r="L7" s="23"/>
    </row>
    <row r="8" spans="3:19" x14ac:dyDescent="0.25">
      <c r="D8" s="9"/>
      <c r="I8" s="13"/>
      <c r="J8" s="12"/>
      <c r="K8" s="13"/>
      <c r="L8" s="23"/>
    </row>
    <row r="9" spans="3:19" x14ac:dyDescent="0.25">
      <c r="D9" s="9"/>
      <c r="I9" s="13"/>
      <c r="J9" s="12"/>
      <c r="K9" s="13"/>
      <c r="L9" s="23"/>
    </row>
    <row r="10" spans="3:19" ht="15.75" x14ac:dyDescent="0.25">
      <c r="C10" s="10"/>
      <c r="D10" s="3"/>
      <c r="E10" s="4"/>
      <c r="F10" s="4"/>
      <c r="G10" s="4"/>
      <c r="H10" s="42"/>
      <c r="I10" s="4"/>
      <c r="J10" s="4"/>
      <c r="K10" s="4"/>
      <c r="L10" s="4"/>
      <c r="M10" s="4"/>
      <c r="N10" s="4"/>
      <c r="O10" s="4"/>
      <c r="P10" s="4"/>
    </row>
    <row r="11" spans="3:19" x14ac:dyDescent="0.25">
      <c r="D11" s="9"/>
      <c r="I11" s="24"/>
      <c r="J11" s="12"/>
      <c r="K11" s="13"/>
      <c r="L11" s="23"/>
      <c r="M11" s="13"/>
      <c r="N11" s="9"/>
      <c r="O11" s="5"/>
      <c r="P11" s="13"/>
    </row>
    <row r="12" spans="3:19" x14ac:dyDescent="0.25">
      <c r="D12" s="9"/>
      <c r="I12" s="24"/>
      <c r="J12" s="12"/>
      <c r="K12" s="13"/>
      <c r="L12" s="23"/>
      <c r="M12" s="13"/>
      <c r="N12" s="9"/>
      <c r="P12" s="13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3EEF3-4904-4A3C-A633-FF56D87F26AE}">
  <dimension ref="C2:R253"/>
  <sheetViews>
    <sheetView tabSelected="1" zoomScale="91" zoomScaleNormal="100" workbookViewId="0">
      <selection activeCell="M8" sqref="M8"/>
    </sheetView>
  </sheetViews>
  <sheetFormatPr defaultRowHeight="15" x14ac:dyDescent="0.25"/>
  <cols>
    <col min="1" max="2" width="2.140625" customWidth="1"/>
    <col min="3" max="3" width="9.42578125" customWidth="1"/>
    <col min="4" max="4" width="13.5703125" customWidth="1"/>
    <col min="5" max="5" width="11" bestFit="1" customWidth="1"/>
    <col min="6" max="6" width="7.5703125" bestFit="1" customWidth="1"/>
    <col min="7" max="7" width="22.5703125" bestFit="1" customWidth="1"/>
    <col min="8" max="8" width="8.85546875" bestFit="1" customWidth="1"/>
    <col min="9" max="9" width="16.7109375" bestFit="1" customWidth="1"/>
    <col min="10" max="10" width="16.7109375" customWidth="1"/>
    <col min="11" max="11" width="10.5703125" style="26" bestFit="1" customWidth="1"/>
    <col min="12" max="12" width="12.28515625" customWidth="1"/>
    <col min="13" max="13" width="12" customWidth="1"/>
    <col min="14" max="14" width="13.28515625" bestFit="1" customWidth="1"/>
    <col min="15" max="15" width="13.85546875" customWidth="1"/>
    <col min="17" max="17" width="28.7109375" customWidth="1"/>
    <col min="18" max="18" width="30.5703125" customWidth="1"/>
  </cols>
  <sheetData>
    <row r="2" spans="3:18" x14ac:dyDescent="0.25">
      <c r="C2" s="25" t="s">
        <v>31</v>
      </c>
      <c r="D2" s="25" t="s">
        <v>40</v>
      </c>
    </row>
    <row r="3" spans="3:18" ht="15.75" x14ac:dyDescent="0.25">
      <c r="C3" s="10" t="s">
        <v>20</v>
      </c>
      <c r="D3" s="10"/>
      <c r="E3" s="10"/>
      <c r="F3" s="10"/>
      <c r="G3" s="10"/>
      <c r="H3" s="10"/>
      <c r="I3" s="10"/>
      <c r="J3" s="10"/>
      <c r="K3" s="27"/>
      <c r="L3" s="10"/>
      <c r="M3" s="10"/>
      <c r="N3" s="10"/>
      <c r="O3" s="10"/>
      <c r="Q3" s="30" t="s">
        <v>34</v>
      </c>
      <c r="R3" s="31"/>
    </row>
    <row r="4" spans="3:18" x14ac:dyDescent="0.25">
      <c r="C4" s="15"/>
      <c r="D4" s="15" t="s">
        <v>2</v>
      </c>
      <c r="E4" s="15" t="s">
        <v>21</v>
      </c>
      <c r="F4" s="15" t="s">
        <v>10</v>
      </c>
      <c r="G4" s="15" t="s">
        <v>22</v>
      </c>
      <c r="H4" s="16" t="s">
        <v>26</v>
      </c>
      <c r="I4" s="16" t="s">
        <v>23</v>
      </c>
      <c r="J4" s="16" t="s">
        <v>3</v>
      </c>
      <c r="K4" s="28" t="s">
        <v>35</v>
      </c>
      <c r="L4" s="16" t="s">
        <v>32</v>
      </c>
      <c r="M4" s="16" t="s">
        <v>5</v>
      </c>
      <c r="N4" s="15" t="s">
        <v>37</v>
      </c>
      <c r="O4" s="15" t="s">
        <v>8</v>
      </c>
      <c r="Q4" s="7" t="s">
        <v>27</v>
      </c>
      <c r="R4" s="32">
        <f>SUM(O:O)</f>
        <v>0</v>
      </c>
    </row>
    <row r="5" spans="3:18" s="2" customFormat="1" x14ac:dyDescent="0.25">
      <c r="C5" s="34" t="s">
        <v>36</v>
      </c>
      <c r="D5" s="35"/>
      <c r="E5" s="34"/>
      <c r="F5" s="34"/>
      <c r="G5" s="34"/>
      <c r="H5" s="34"/>
      <c r="I5" s="36"/>
      <c r="J5" s="34"/>
      <c r="K5" s="37"/>
      <c r="L5" s="38">
        <v>0</v>
      </c>
      <c r="M5" s="36">
        <v>0</v>
      </c>
      <c r="N5" s="36"/>
      <c r="O5" s="36"/>
      <c r="Q5" s="19" t="s">
        <v>28</v>
      </c>
      <c r="R5" s="40" t="str" cm="1">
        <f t="array" ref="R5">IFERROR(LOOKUP(2,1/(L6:L10000&lt;&gt;""),L6:L10000),"- -")</f>
        <v>- -</v>
      </c>
    </row>
    <row r="6" spans="3:18" x14ac:dyDescent="0.25">
      <c r="C6" s="17" t="str" cm="1">
        <f t="array" ref="C6">_xlfn._xlws.FILTER('Transaction Glossary'!C:K, 'Transaction Glossary'!F:F=D2, " ")</f>
        <v xml:space="preserve"> </v>
      </c>
      <c r="D6" s="9"/>
      <c r="L6" s="33" t="str">
        <f>IF(J6="", "", L5+J6)</f>
        <v/>
      </c>
      <c r="M6" s="17" t="str">
        <f>IF(J6="", "",IF(E6="Buy", (L5*M5+(-K6))/L6, M5))</f>
        <v/>
      </c>
      <c r="N6" s="17" t="str">
        <f>IF(J6="", "", IF(E6="Sell",K6, 0))</f>
        <v/>
      </c>
      <c r="O6" s="17" t="str">
        <f>IF(J6="", "", IF(E6="Sell", N6+J6*M6, 0))</f>
        <v/>
      </c>
      <c r="Q6" s="19" t="s">
        <v>7</v>
      </c>
      <c r="R6" s="40" t="str" cm="1">
        <f t="array" ref="R6">IFERROR(LOOKUP(2,1/(M6:M10000&lt;&gt;""),M6:M10000),"- -")</f>
        <v>- -</v>
      </c>
    </row>
    <row r="7" spans="3:18" x14ac:dyDescent="0.25">
      <c r="C7" s="17"/>
      <c r="D7" s="9"/>
      <c r="L7" s="33" t="str">
        <f t="shared" ref="L7:L70" si="0">IF(J7="", "", L6+J7)</f>
        <v/>
      </c>
      <c r="M7" s="17" t="str">
        <f t="shared" ref="M7:M70" si="1">IF(J7="", "",IF(E7="Buy", (L6*M6+(-K7))/L7, M6))</f>
        <v/>
      </c>
      <c r="N7" s="17" t="str">
        <f t="shared" ref="N7:N70" si="2">IF(J7="", "", IF(E7="Sell",K7, 0))</f>
        <v/>
      </c>
      <c r="O7" s="17" t="str">
        <f t="shared" ref="O7:O70" si="3">IF(J7="", "", IF(E7="Sell", N7+J7*M7, 0))</f>
        <v/>
      </c>
      <c r="Q7" s="19" t="s">
        <v>33</v>
      </c>
      <c r="R7" s="40" t="str">
        <f>IFERROR(R5*R6, "- -")</f>
        <v>- -</v>
      </c>
    </row>
    <row r="8" spans="3:18" x14ac:dyDescent="0.25">
      <c r="C8" s="17"/>
      <c r="D8" s="9"/>
      <c r="L8" s="33" t="str">
        <f t="shared" si="0"/>
        <v/>
      </c>
      <c r="M8" s="17" t="str">
        <f t="shared" si="1"/>
        <v/>
      </c>
      <c r="N8" s="17" t="str">
        <f t="shared" si="2"/>
        <v/>
      </c>
      <c r="O8" s="17" t="str">
        <f t="shared" si="3"/>
        <v/>
      </c>
    </row>
    <row r="9" spans="3:18" x14ac:dyDescent="0.25">
      <c r="C9" s="17"/>
      <c r="D9" s="9"/>
      <c r="L9" s="33" t="str">
        <f t="shared" si="0"/>
        <v/>
      </c>
      <c r="M9" s="17" t="str">
        <f t="shared" si="1"/>
        <v/>
      </c>
      <c r="N9" s="17" t="str">
        <f t="shared" si="2"/>
        <v/>
      </c>
      <c r="O9" s="17" t="str">
        <f t="shared" si="3"/>
        <v/>
      </c>
    </row>
    <row r="10" spans="3:18" x14ac:dyDescent="0.25">
      <c r="C10" s="17"/>
      <c r="D10" s="9"/>
      <c r="L10" s="33" t="str">
        <f t="shared" si="0"/>
        <v/>
      </c>
      <c r="M10" s="17" t="str">
        <f t="shared" si="1"/>
        <v/>
      </c>
      <c r="N10" s="17" t="str">
        <f t="shared" si="2"/>
        <v/>
      </c>
      <c r="O10" s="17" t="str">
        <f t="shared" si="3"/>
        <v/>
      </c>
    </row>
    <row r="11" spans="3:18" x14ac:dyDescent="0.25">
      <c r="C11" s="17"/>
      <c r="D11" s="9"/>
      <c r="I11" s="17"/>
      <c r="L11" s="33" t="str">
        <f t="shared" si="0"/>
        <v/>
      </c>
      <c r="M11" s="17" t="str">
        <f t="shared" si="1"/>
        <v/>
      </c>
      <c r="N11" s="17" t="str">
        <f t="shared" si="2"/>
        <v/>
      </c>
      <c r="O11" s="17" t="str">
        <f t="shared" si="3"/>
        <v/>
      </c>
    </row>
    <row r="12" spans="3:18" x14ac:dyDescent="0.25">
      <c r="C12" s="17"/>
      <c r="D12" s="9"/>
      <c r="I12" s="17"/>
      <c r="L12" s="33" t="str">
        <f t="shared" si="0"/>
        <v/>
      </c>
      <c r="M12" s="17" t="str">
        <f t="shared" si="1"/>
        <v/>
      </c>
      <c r="N12" s="17" t="str">
        <f t="shared" si="2"/>
        <v/>
      </c>
      <c r="O12" s="17" t="str">
        <f t="shared" si="3"/>
        <v/>
      </c>
    </row>
    <row r="13" spans="3:18" x14ac:dyDescent="0.25">
      <c r="C13" s="17"/>
      <c r="D13" s="9"/>
      <c r="I13" s="17"/>
      <c r="L13" s="33" t="str">
        <f t="shared" si="0"/>
        <v/>
      </c>
      <c r="M13" s="17" t="str">
        <f t="shared" si="1"/>
        <v/>
      </c>
      <c r="N13" s="17" t="str">
        <f t="shared" si="2"/>
        <v/>
      </c>
      <c r="O13" s="17" t="str">
        <f t="shared" si="3"/>
        <v/>
      </c>
    </row>
    <row r="14" spans="3:18" x14ac:dyDescent="0.25">
      <c r="C14" s="17"/>
      <c r="D14" s="9"/>
      <c r="I14" s="17"/>
      <c r="L14" s="33" t="str">
        <f t="shared" si="0"/>
        <v/>
      </c>
      <c r="M14" s="17" t="str">
        <f t="shared" si="1"/>
        <v/>
      </c>
      <c r="N14" s="17" t="str">
        <f t="shared" si="2"/>
        <v/>
      </c>
      <c r="O14" s="17" t="str">
        <f t="shared" si="3"/>
        <v/>
      </c>
    </row>
    <row r="15" spans="3:18" x14ac:dyDescent="0.25">
      <c r="D15" s="9"/>
      <c r="I15" s="17"/>
      <c r="L15" s="33" t="str">
        <f t="shared" si="0"/>
        <v/>
      </c>
      <c r="M15" s="17" t="str">
        <f t="shared" si="1"/>
        <v/>
      </c>
      <c r="N15" s="17" t="str">
        <f t="shared" si="2"/>
        <v/>
      </c>
      <c r="O15" s="17" t="str">
        <f t="shared" si="3"/>
        <v/>
      </c>
    </row>
    <row r="16" spans="3:18" x14ac:dyDescent="0.25">
      <c r="C16" s="17"/>
      <c r="D16" s="9"/>
      <c r="I16" s="17"/>
      <c r="L16" s="33" t="str">
        <f t="shared" si="0"/>
        <v/>
      </c>
      <c r="M16" s="17" t="str">
        <f t="shared" si="1"/>
        <v/>
      </c>
      <c r="N16" s="17" t="str">
        <f t="shared" si="2"/>
        <v/>
      </c>
      <c r="O16" s="17" t="str">
        <f t="shared" si="3"/>
        <v/>
      </c>
    </row>
    <row r="17" spans="3:15" x14ac:dyDescent="0.25">
      <c r="C17" s="17"/>
      <c r="D17" s="9"/>
      <c r="I17" s="17"/>
      <c r="L17" s="33" t="str">
        <f t="shared" si="0"/>
        <v/>
      </c>
      <c r="M17" s="17" t="str">
        <f t="shared" si="1"/>
        <v/>
      </c>
      <c r="N17" s="17" t="str">
        <f t="shared" si="2"/>
        <v/>
      </c>
      <c r="O17" s="17" t="str">
        <f t="shared" si="3"/>
        <v/>
      </c>
    </row>
    <row r="18" spans="3:15" x14ac:dyDescent="0.25">
      <c r="C18" s="17"/>
      <c r="D18" s="9"/>
      <c r="I18" s="17"/>
      <c r="L18" s="33" t="str">
        <f t="shared" si="0"/>
        <v/>
      </c>
      <c r="M18" s="17" t="str">
        <f t="shared" si="1"/>
        <v/>
      </c>
      <c r="N18" s="17" t="str">
        <f t="shared" si="2"/>
        <v/>
      </c>
      <c r="O18" s="17" t="str">
        <f t="shared" si="3"/>
        <v/>
      </c>
    </row>
    <row r="19" spans="3:15" x14ac:dyDescent="0.25">
      <c r="C19" s="17"/>
      <c r="D19" s="9"/>
      <c r="I19" s="17"/>
      <c r="L19" s="33" t="str">
        <f t="shared" si="0"/>
        <v/>
      </c>
      <c r="M19" s="17" t="str">
        <f t="shared" si="1"/>
        <v/>
      </c>
      <c r="N19" s="17" t="str">
        <f t="shared" si="2"/>
        <v/>
      </c>
      <c r="O19" s="17" t="str">
        <f t="shared" si="3"/>
        <v/>
      </c>
    </row>
    <row r="20" spans="3:15" x14ac:dyDescent="0.25">
      <c r="C20" s="17"/>
      <c r="D20" s="9"/>
      <c r="I20" s="17"/>
      <c r="L20" s="33" t="str">
        <f t="shared" si="0"/>
        <v/>
      </c>
      <c r="M20" s="17" t="str">
        <f t="shared" si="1"/>
        <v/>
      </c>
      <c r="N20" s="17" t="str">
        <f t="shared" si="2"/>
        <v/>
      </c>
      <c r="O20" s="17" t="str">
        <f t="shared" si="3"/>
        <v/>
      </c>
    </row>
    <row r="21" spans="3:15" x14ac:dyDescent="0.25">
      <c r="C21" s="17"/>
      <c r="D21" s="9"/>
      <c r="I21" s="17"/>
      <c r="L21" s="33" t="str">
        <f t="shared" si="0"/>
        <v/>
      </c>
      <c r="M21" s="17" t="str">
        <f t="shared" si="1"/>
        <v/>
      </c>
      <c r="N21" s="17" t="str">
        <f t="shared" si="2"/>
        <v/>
      </c>
      <c r="O21" s="17" t="str">
        <f t="shared" si="3"/>
        <v/>
      </c>
    </row>
    <row r="22" spans="3:15" x14ac:dyDescent="0.25">
      <c r="D22" s="9"/>
      <c r="I22" s="17"/>
      <c r="L22" s="33" t="str">
        <f t="shared" si="0"/>
        <v/>
      </c>
      <c r="M22" s="17" t="str">
        <f t="shared" si="1"/>
        <v/>
      </c>
      <c r="N22" s="17" t="str">
        <f t="shared" si="2"/>
        <v/>
      </c>
      <c r="O22" s="17" t="str">
        <f t="shared" si="3"/>
        <v/>
      </c>
    </row>
    <row r="23" spans="3:15" x14ac:dyDescent="0.25">
      <c r="C23" s="17"/>
      <c r="D23" s="9"/>
      <c r="I23" s="17"/>
      <c r="L23" s="33" t="str">
        <f t="shared" si="0"/>
        <v/>
      </c>
      <c r="M23" s="17" t="str">
        <f t="shared" si="1"/>
        <v/>
      </c>
      <c r="N23" s="17" t="str">
        <f t="shared" si="2"/>
        <v/>
      </c>
      <c r="O23" s="17" t="str">
        <f t="shared" si="3"/>
        <v/>
      </c>
    </row>
    <row r="24" spans="3:15" x14ac:dyDescent="0.25">
      <c r="C24" s="17"/>
      <c r="D24" s="9"/>
      <c r="I24" s="17"/>
      <c r="L24" s="33" t="str">
        <f t="shared" si="0"/>
        <v/>
      </c>
      <c r="M24" s="17" t="str">
        <f t="shared" si="1"/>
        <v/>
      </c>
      <c r="N24" s="17" t="str">
        <f t="shared" si="2"/>
        <v/>
      </c>
      <c r="O24" s="17" t="str">
        <f t="shared" si="3"/>
        <v/>
      </c>
    </row>
    <row r="25" spans="3:15" x14ac:dyDescent="0.25">
      <c r="C25" s="17"/>
      <c r="D25" s="9"/>
      <c r="I25" s="17"/>
      <c r="L25" s="33" t="str">
        <f t="shared" si="0"/>
        <v/>
      </c>
      <c r="M25" s="17" t="str">
        <f t="shared" si="1"/>
        <v/>
      </c>
      <c r="N25" s="17" t="str">
        <f t="shared" si="2"/>
        <v/>
      </c>
      <c r="O25" s="17" t="str">
        <f t="shared" si="3"/>
        <v/>
      </c>
    </row>
    <row r="26" spans="3:15" x14ac:dyDescent="0.25">
      <c r="C26" s="17"/>
      <c r="D26" s="9"/>
      <c r="I26" s="17"/>
      <c r="L26" s="33" t="str">
        <f t="shared" si="0"/>
        <v/>
      </c>
      <c r="M26" s="17" t="str">
        <f t="shared" si="1"/>
        <v/>
      </c>
      <c r="N26" s="17" t="str">
        <f t="shared" si="2"/>
        <v/>
      </c>
      <c r="O26" s="17" t="str">
        <f t="shared" si="3"/>
        <v/>
      </c>
    </row>
    <row r="27" spans="3:15" x14ac:dyDescent="0.25">
      <c r="C27" s="17"/>
      <c r="D27" s="9"/>
      <c r="I27" s="17"/>
      <c r="L27" s="33" t="str">
        <f t="shared" si="0"/>
        <v/>
      </c>
      <c r="M27" s="17" t="str">
        <f t="shared" si="1"/>
        <v/>
      </c>
      <c r="N27" s="17" t="str">
        <f t="shared" si="2"/>
        <v/>
      </c>
      <c r="O27" s="17" t="str">
        <f t="shared" si="3"/>
        <v/>
      </c>
    </row>
    <row r="28" spans="3:15" x14ac:dyDescent="0.25">
      <c r="C28" s="17"/>
      <c r="D28" s="9"/>
      <c r="I28" s="17"/>
      <c r="L28" s="33" t="str">
        <f t="shared" si="0"/>
        <v/>
      </c>
      <c r="M28" s="17" t="str">
        <f t="shared" si="1"/>
        <v/>
      </c>
      <c r="N28" s="17" t="str">
        <f t="shared" si="2"/>
        <v/>
      </c>
      <c r="O28" s="17" t="str">
        <f t="shared" si="3"/>
        <v/>
      </c>
    </row>
    <row r="29" spans="3:15" x14ac:dyDescent="0.25">
      <c r="C29" s="17"/>
      <c r="D29" s="9"/>
      <c r="I29" s="17"/>
      <c r="L29" s="33" t="str">
        <f t="shared" si="0"/>
        <v/>
      </c>
      <c r="M29" s="17" t="str">
        <f t="shared" si="1"/>
        <v/>
      </c>
      <c r="N29" s="17" t="str">
        <f t="shared" si="2"/>
        <v/>
      </c>
      <c r="O29" s="17" t="str">
        <f t="shared" si="3"/>
        <v/>
      </c>
    </row>
    <row r="30" spans="3:15" x14ac:dyDescent="0.25">
      <c r="C30" s="17"/>
      <c r="D30" s="9"/>
      <c r="I30" s="17"/>
      <c r="L30" s="33" t="str">
        <f t="shared" si="0"/>
        <v/>
      </c>
      <c r="M30" s="17" t="str">
        <f t="shared" si="1"/>
        <v/>
      </c>
      <c r="N30" s="17" t="str">
        <f t="shared" si="2"/>
        <v/>
      </c>
      <c r="O30" s="17" t="str">
        <f t="shared" si="3"/>
        <v/>
      </c>
    </row>
    <row r="31" spans="3:15" x14ac:dyDescent="0.25">
      <c r="C31" s="17"/>
      <c r="D31" s="9"/>
      <c r="I31" s="17"/>
      <c r="L31" s="33" t="str">
        <f t="shared" si="0"/>
        <v/>
      </c>
      <c r="M31" s="17" t="str">
        <f t="shared" si="1"/>
        <v/>
      </c>
      <c r="N31" s="17" t="str">
        <f t="shared" si="2"/>
        <v/>
      </c>
      <c r="O31" s="17" t="str">
        <f t="shared" si="3"/>
        <v/>
      </c>
    </row>
    <row r="32" spans="3:15" x14ac:dyDescent="0.25">
      <c r="C32" s="17"/>
      <c r="D32" s="9"/>
      <c r="I32" s="17"/>
      <c r="L32" s="33" t="str">
        <f t="shared" si="0"/>
        <v/>
      </c>
      <c r="M32" s="17" t="str">
        <f t="shared" si="1"/>
        <v/>
      </c>
      <c r="N32" s="17" t="str">
        <f t="shared" si="2"/>
        <v/>
      </c>
      <c r="O32" s="17" t="str">
        <f t="shared" si="3"/>
        <v/>
      </c>
    </row>
    <row r="33" spans="3:15" x14ac:dyDescent="0.25">
      <c r="C33" s="17"/>
      <c r="D33" s="9"/>
      <c r="I33" s="17"/>
      <c r="L33" s="33" t="str">
        <f t="shared" si="0"/>
        <v/>
      </c>
      <c r="M33" s="17" t="str">
        <f t="shared" si="1"/>
        <v/>
      </c>
      <c r="N33" s="17" t="str">
        <f t="shared" si="2"/>
        <v/>
      </c>
      <c r="O33" s="17" t="str">
        <f t="shared" si="3"/>
        <v/>
      </c>
    </row>
    <row r="34" spans="3:15" x14ac:dyDescent="0.25">
      <c r="C34" s="17"/>
      <c r="D34" s="9"/>
      <c r="I34" s="17"/>
      <c r="L34" s="33" t="str">
        <f t="shared" si="0"/>
        <v/>
      </c>
      <c r="M34" s="17" t="str">
        <f t="shared" si="1"/>
        <v/>
      </c>
      <c r="N34" s="17" t="str">
        <f t="shared" si="2"/>
        <v/>
      </c>
      <c r="O34" s="17" t="str">
        <f t="shared" si="3"/>
        <v/>
      </c>
    </row>
    <row r="35" spans="3:15" x14ac:dyDescent="0.25">
      <c r="C35" s="17"/>
      <c r="D35" s="9"/>
      <c r="I35" s="17"/>
      <c r="L35" s="33" t="str">
        <f t="shared" si="0"/>
        <v/>
      </c>
      <c r="M35" s="17" t="str">
        <f t="shared" si="1"/>
        <v/>
      </c>
      <c r="N35" s="17" t="str">
        <f t="shared" si="2"/>
        <v/>
      </c>
      <c r="O35" s="17" t="str">
        <f t="shared" si="3"/>
        <v/>
      </c>
    </row>
    <row r="36" spans="3:15" x14ac:dyDescent="0.25">
      <c r="C36" s="17"/>
      <c r="D36" s="9"/>
      <c r="I36" s="17"/>
      <c r="L36" s="33" t="str">
        <f t="shared" si="0"/>
        <v/>
      </c>
      <c r="M36" s="17" t="str">
        <f t="shared" si="1"/>
        <v/>
      </c>
      <c r="N36" s="17" t="str">
        <f t="shared" si="2"/>
        <v/>
      </c>
      <c r="O36" s="17" t="str">
        <f t="shared" si="3"/>
        <v/>
      </c>
    </row>
    <row r="37" spans="3:15" x14ac:dyDescent="0.25">
      <c r="C37" s="17"/>
      <c r="D37" s="9"/>
      <c r="I37" s="17"/>
      <c r="L37" s="33" t="str">
        <f t="shared" si="0"/>
        <v/>
      </c>
      <c r="M37" s="17" t="str">
        <f t="shared" si="1"/>
        <v/>
      </c>
      <c r="N37" s="17" t="str">
        <f t="shared" si="2"/>
        <v/>
      </c>
      <c r="O37" s="17" t="str">
        <f t="shared" si="3"/>
        <v/>
      </c>
    </row>
    <row r="38" spans="3:15" x14ac:dyDescent="0.25">
      <c r="C38" s="17"/>
      <c r="D38" s="9"/>
      <c r="I38" s="17"/>
      <c r="L38" s="33" t="str">
        <f t="shared" si="0"/>
        <v/>
      </c>
      <c r="M38" s="17" t="str">
        <f t="shared" si="1"/>
        <v/>
      </c>
      <c r="N38" s="17" t="str">
        <f t="shared" si="2"/>
        <v/>
      </c>
      <c r="O38" s="17" t="str">
        <f t="shared" si="3"/>
        <v/>
      </c>
    </row>
    <row r="39" spans="3:15" x14ac:dyDescent="0.25">
      <c r="C39" s="17"/>
      <c r="D39" s="9"/>
      <c r="I39" s="17"/>
      <c r="L39" s="33" t="str">
        <f t="shared" si="0"/>
        <v/>
      </c>
      <c r="M39" s="17" t="str">
        <f t="shared" si="1"/>
        <v/>
      </c>
      <c r="N39" s="17" t="str">
        <f t="shared" si="2"/>
        <v/>
      </c>
      <c r="O39" s="17" t="str">
        <f t="shared" si="3"/>
        <v/>
      </c>
    </row>
    <row r="40" spans="3:15" x14ac:dyDescent="0.25">
      <c r="C40" s="17"/>
      <c r="D40" s="9"/>
      <c r="I40" s="17"/>
      <c r="L40" s="33" t="str">
        <f t="shared" si="0"/>
        <v/>
      </c>
      <c r="M40" s="17" t="str">
        <f t="shared" si="1"/>
        <v/>
      </c>
      <c r="N40" s="17" t="str">
        <f t="shared" si="2"/>
        <v/>
      </c>
      <c r="O40" s="17" t="str">
        <f t="shared" si="3"/>
        <v/>
      </c>
    </row>
    <row r="41" spans="3:15" x14ac:dyDescent="0.25">
      <c r="C41" s="17"/>
      <c r="D41" s="9"/>
      <c r="I41" s="17"/>
      <c r="L41" s="33" t="str">
        <f t="shared" si="0"/>
        <v/>
      </c>
      <c r="M41" s="17" t="str">
        <f t="shared" si="1"/>
        <v/>
      </c>
      <c r="N41" s="17" t="str">
        <f t="shared" si="2"/>
        <v/>
      </c>
      <c r="O41" s="17" t="str">
        <f t="shared" si="3"/>
        <v/>
      </c>
    </row>
    <row r="42" spans="3:15" x14ac:dyDescent="0.25">
      <c r="C42" s="17"/>
      <c r="D42" s="9"/>
      <c r="I42" s="17"/>
      <c r="L42" s="33" t="str">
        <f t="shared" si="0"/>
        <v/>
      </c>
      <c r="M42" s="17" t="str">
        <f t="shared" si="1"/>
        <v/>
      </c>
      <c r="N42" s="17" t="str">
        <f t="shared" si="2"/>
        <v/>
      </c>
      <c r="O42" s="17" t="str">
        <f t="shared" si="3"/>
        <v/>
      </c>
    </row>
    <row r="43" spans="3:15" x14ac:dyDescent="0.25">
      <c r="C43" s="17"/>
      <c r="D43" s="9"/>
      <c r="I43" s="17"/>
      <c r="L43" s="33" t="str">
        <f t="shared" si="0"/>
        <v/>
      </c>
      <c r="M43" s="17" t="str">
        <f t="shared" si="1"/>
        <v/>
      </c>
      <c r="N43" s="17" t="str">
        <f t="shared" si="2"/>
        <v/>
      </c>
      <c r="O43" s="17" t="str">
        <f t="shared" si="3"/>
        <v/>
      </c>
    </row>
    <row r="44" spans="3:15" x14ac:dyDescent="0.25">
      <c r="C44" s="17"/>
      <c r="D44" s="9"/>
      <c r="I44" s="17"/>
      <c r="L44" s="33" t="str">
        <f t="shared" si="0"/>
        <v/>
      </c>
      <c r="M44" s="17" t="str">
        <f t="shared" si="1"/>
        <v/>
      </c>
      <c r="N44" s="17" t="str">
        <f t="shared" si="2"/>
        <v/>
      </c>
      <c r="O44" s="17" t="str">
        <f t="shared" si="3"/>
        <v/>
      </c>
    </row>
    <row r="45" spans="3:15" x14ac:dyDescent="0.25">
      <c r="C45" s="17"/>
      <c r="D45" s="9"/>
      <c r="I45" s="17"/>
      <c r="L45" s="33" t="str">
        <f t="shared" si="0"/>
        <v/>
      </c>
      <c r="M45" s="17" t="str">
        <f t="shared" si="1"/>
        <v/>
      </c>
      <c r="N45" s="17" t="str">
        <f t="shared" si="2"/>
        <v/>
      </c>
      <c r="O45" s="17" t="str">
        <f t="shared" si="3"/>
        <v/>
      </c>
    </row>
    <row r="46" spans="3:15" x14ac:dyDescent="0.25">
      <c r="C46" s="17"/>
      <c r="D46" s="9"/>
      <c r="I46" s="17"/>
      <c r="L46" s="33" t="str">
        <f t="shared" si="0"/>
        <v/>
      </c>
      <c r="M46" s="17" t="str">
        <f t="shared" si="1"/>
        <v/>
      </c>
      <c r="N46" s="17" t="str">
        <f t="shared" si="2"/>
        <v/>
      </c>
      <c r="O46" s="17" t="str">
        <f t="shared" si="3"/>
        <v/>
      </c>
    </row>
    <row r="47" spans="3:15" x14ac:dyDescent="0.25">
      <c r="C47" s="17"/>
      <c r="D47" s="9"/>
      <c r="I47" s="17"/>
      <c r="L47" s="33" t="str">
        <f t="shared" si="0"/>
        <v/>
      </c>
      <c r="M47" s="17" t="str">
        <f t="shared" si="1"/>
        <v/>
      </c>
      <c r="N47" s="17" t="str">
        <f t="shared" si="2"/>
        <v/>
      </c>
      <c r="O47" s="17" t="str">
        <f t="shared" si="3"/>
        <v/>
      </c>
    </row>
    <row r="48" spans="3:15" x14ac:dyDescent="0.25">
      <c r="C48" s="17"/>
      <c r="D48" s="9"/>
      <c r="I48" s="17"/>
      <c r="L48" s="33" t="str">
        <f t="shared" si="0"/>
        <v/>
      </c>
      <c r="M48" s="17" t="str">
        <f t="shared" si="1"/>
        <v/>
      </c>
      <c r="N48" s="17" t="str">
        <f t="shared" si="2"/>
        <v/>
      </c>
      <c r="O48" s="17" t="str">
        <f t="shared" si="3"/>
        <v/>
      </c>
    </row>
    <row r="49" spans="3:15" x14ac:dyDescent="0.25">
      <c r="C49" s="17"/>
      <c r="D49" s="9"/>
      <c r="I49" s="17"/>
      <c r="L49" s="33" t="str">
        <f t="shared" si="0"/>
        <v/>
      </c>
      <c r="M49" s="17" t="str">
        <f t="shared" si="1"/>
        <v/>
      </c>
      <c r="N49" s="17" t="str">
        <f t="shared" si="2"/>
        <v/>
      </c>
      <c r="O49" s="17" t="str">
        <f t="shared" si="3"/>
        <v/>
      </c>
    </row>
    <row r="50" spans="3:15" x14ac:dyDescent="0.25">
      <c r="C50" s="17"/>
      <c r="D50" s="9"/>
      <c r="I50" s="17"/>
      <c r="L50" s="33" t="str">
        <f t="shared" si="0"/>
        <v/>
      </c>
      <c r="M50" s="17" t="str">
        <f t="shared" si="1"/>
        <v/>
      </c>
      <c r="N50" s="17" t="str">
        <f t="shared" si="2"/>
        <v/>
      </c>
      <c r="O50" s="17" t="str">
        <f t="shared" si="3"/>
        <v/>
      </c>
    </row>
    <row r="51" spans="3:15" x14ac:dyDescent="0.25">
      <c r="C51" s="17"/>
      <c r="D51" s="9"/>
      <c r="I51" s="17"/>
      <c r="L51" s="33" t="str">
        <f t="shared" si="0"/>
        <v/>
      </c>
      <c r="M51" s="17" t="str">
        <f t="shared" si="1"/>
        <v/>
      </c>
      <c r="N51" s="17" t="str">
        <f t="shared" si="2"/>
        <v/>
      </c>
      <c r="O51" s="17" t="str">
        <f t="shared" si="3"/>
        <v/>
      </c>
    </row>
    <row r="52" spans="3:15" x14ac:dyDescent="0.25">
      <c r="C52" s="17"/>
      <c r="D52" s="9"/>
      <c r="I52" s="17"/>
      <c r="L52" s="33" t="str">
        <f t="shared" si="0"/>
        <v/>
      </c>
      <c r="M52" s="17" t="str">
        <f t="shared" si="1"/>
        <v/>
      </c>
      <c r="N52" s="17" t="str">
        <f t="shared" si="2"/>
        <v/>
      </c>
      <c r="O52" s="17" t="str">
        <f t="shared" si="3"/>
        <v/>
      </c>
    </row>
    <row r="53" spans="3:15" x14ac:dyDescent="0.25">
      <c r="C53" s="17"/>
      <c r="D53" s="9"/>
      <c r="I53" s="17"/>
      <c r="L53" s="33" t="str">
        <f t="shared" si="0"/>
        <v/>
      </c>
      <c r="M53" s="17" t="str">
        <f t="shared" si="1"/>
        <v/>
      </c>
      <c r="N53" s="17" t="str">
        <f t="shared" si="2"/>
        <v/>
      </c>
      <c r="O53" s="17" t="str">
        <f t="shared" si="3"/>
        <v/>
      </c>
    </row>
    <row r="54" spans="3:15" x14ac:dyDescent="0.25">
      <c r="C54" s="17"/>
      <c r="D54" s="9"/>
      <c r="I54" s="17"/>
      <c r="L54" s="33" t="str">
        <f t="shared" si="0"/>
        <v/>
      </c>
      <c r="M54" s="17" t="str">
        <f t="shared" si="1"/>
        <v/>
      </c>
      <c r="N54" s="17" t="str">
        <f t="shared" si="2"/>
        <v/>
      </c>
      <c r="O54" s="17" t="str">
        <f t="shared" si="3"/>
        <v/>
      </c>
    </row>
    <row r="55" spans="3:15" x14ac:dyDescent="0.25">
      <c r="C55" s="17"/>
      <c r="D55" s="9"/>
      <c r="I55" s="17"/>
      <c r="L55" s="33" t="str">
        <f t="shared" si="0"/>
        <v/>
      </c>
      <c r="M55" s="17" t="str">
        <f t="shared" si="1"/>
        <v/>
      </c>
      <c r="N55" s="17" t="str">
        <f t="shared" si="2"/>
        <v/>
      </c>
      <c r="O55" s="17" t="str">
        <f t="shared" si="3"/>
        <v/>
      </c>
    </row>
    <row r="56" spans="3:15" x14ac:dyDescent="0.25">
      <c r="C56" s="17"/>
      <c r="D56" s="9"/>
      <c r="I56" s="17"/>
      <c r="L56" s="33" t="str">
        <f t="shared" si="0"/>
        <v/>
      </c>
      <c r="M56" s="17" t="str">
        <f t="shared" si="1"/>
        <v/>
      </c>
      <c r="N56" s="17" t="str">
        <f t="shared" si="2"/>
        <v/>
      </c>
      <c r="O56" s="17" t="str">
        <f t="shared" si="3"/>
        <v/>
      </c>
    </row>
    <row r="57" spans="3:15" x14ac:dyDescent="0.25">
      <c r="C57" s="17"/>
      <c r="D57" s="9"/>
      <c r="I57" s="17"/>
      <c r="L57" s="33" t="str">
        <f t="shared" si="0"/>
        <v/>
      </c>
      <c r="M57" s="17" t="str">
        <f t="shared" si="1"/>
        <v/>
      </c>
      <c r="N57" s="17" t="str">
        <f t="shared" si="2"/>
        <v/>
      </c>
      <c r="O57" s="17" t="str">
        <f t="shared" si="3"/>
        <v/>
      </c>
    </row>
    <row r="58" spans="3:15" x14ac:dyDescent="0.25">
      <c r="C58" s="17"/>
      <c r="D58" s="9"/>
      <c r="I58" s="17"/>
      <c r="L58" s="33" t="str">
        <f t="shared" si="0"/>
        <v/>
      </c>
      <c r="M58" s="17" t="str">
        <f t="shared" si="1"/>
        <v/>
      </c>
      <c r="N58" s="17" t="str">
        <f t="shared" si="2"/>
        <v/>
      </c>
      <c r="O58" s="17" t="str">
        <f t="shared" si="3"/>
        <v/>
      </c>
    </row>
    <row r="59" spans="3:15" x14ac:dyDescent="0.25">
      <c r="C59" s="17"/>
      <c r="D59" s="9"/>
      <c r="I59" s="17"/>
      <c r="L59" s="33" t="str">
        <f t="shared" si="0"/>
        <v/>
      </c>
      <c r="M59" s="17" t="str">
        <f t="shared" si="1"/>
        <v/>
      </c>
      <c r="N59" s="17" t="str">
        <f t="shared" si="2"/>
        <v/>
      </c>
      <c r="O59" s="17" t="str">
        <f t="shared" si="3"/>
        <v/>
      </c>
    </row>
    <row r="60" spans="3:15" x14ac:dyDescent="0.25">
      <c r="C60" s="17"/>
      <c r="D60" s="9"/>
      <c r="I60" s="17"/>
      <c r="L60" s="33" t="str">
        <f t="shared" si="0"/>
        <v/>
      </c>
      <c r="M60" s="17" t="str">
        <f t="shared" si="1"/>
        <v/>
      </c>
      <c r="N60" s="17" t="str">
        <f t="shared" si="2"/>
        <v/>
      </c>
      <c r="O60" s="17" t="str">
        <f t="shared" si="3"/>
        <v/>
      </c>
    </row>
    <row r="61" spans="3:15" x14ac:dyDescent="0.25">
      <c r="C61" s="17"/>
      <c r="D61" s="9"/>
      <c r="I61" s="17"/>
      <c r="L61" s="33" t="str">
        <f t="shared" si="0"/>
        <v/>
      </c>
      <c r="M61" s="17" t="str">
        <f t="shared" si="1"/>
        <v/>
      </c>
      <c r="N61" s="17" t="str">
        <f t="shared" si="2"/>
        <v/>
      </c>
      <c r="O61" s="17" t="str">
        <f t="shared" si="3"/>
        <v/>
      </c>
    </row>
    <row r="62" spans="3:15" x14ac:dyDescent="0.25">
      <c r="C62" s="17"/>
      <c r="D62" s="9"/>
      <c r="I62" s="17"/>
      <c r="L62" s="33" t="str">
        <f t="shared" si="0"/>
        <v/>
      </c>
      <c r="M62" s="17" t="str">
        <f t="shared" si="1"/>
        <v/>
      </c>
      <c r="N62" s="17" t="str">
        <f t="shared" si="2"/>
        <v/>
      </c>
      <c r="O62" s="17" t="str">
        <f t="shared" si="3"/>
        <v/>
      </c>
    </row>
    <row r="63" spans="3:15" x14ac:dyDescent="0.25">
      <c r="C63" s="17"/>
      <c r="D63" s="9"/>
      <c r="I63" s="17"/>
      <c r="L63" s="33" t="str">
        <f t="shared" si="0"/>
        <v/>
      </c>
      <c r="M63" s="17" t="str">
        <f t="shared" si="1"/>
        <v/>
      </c>
      <c r="N63" s="17" t="str">
        <f t="shared" si="2"/>
        <v/>
      </c>
      <c r="O63" s="17" t="str">
        <f t="shared" si="3"/>
        <v/>
      </c>
    </row>
    <row r="64" spans="3:15" x14ac:dyDescent="0.25">
      <c r="C64" s="17"/>
      <c r="D64" s="9"/>
      <c r="I64" s="17"/>
      <c r="L64" s="33" t="str">
        <f t="shared" si="0"/>
        <v/>
      </c>
      <c r="M64" s="17" t="str">
        <f t="shared" si="1"/>
        <v/>
      </c>
      <c r="N64" s="17" t="str">
        <f t="shared" si="2"/>
        <v/>
      </c>
      <c r="O64" s="17" t="str">
        <f t="shared" si="3"/>
        <v/>
      </c>
    </row>
    <row r="65" spans="3:15" x14ac:dyDescent="0.25">
      <c r="C65" s="17"/>
      <c r="D65" s="9"/>
      <c r="I65" s="17"/>
      <c r="L65" s="33" t="str">
        <f t="shared" si="0"/>
        <v/>
      </c>
      <c r="M65" s="17" t="str">
        <f t="shared" si="1"/>
        <v/>
      </c>
      <c r="N65" s="17" t="str">
        <f t="shared" si="2"/>
        <v/>
      </c>
      <c r="O65" s="17" t="str">
        <f t="shared" si="3"/>
        <v/>
      </c>
    </row>
    <row r="66" spans="3:15" x14ac:dyDescent="0.25">
      <c r="C66" s="17"/>
      <c r="D66" s="9"/>
      <c r="I66" s="17"/>
      <c r="L66" s="33" t="str">
        <f t="shared" si="0"/>
        <v/>
      </c>
      <c r="M66" s="17" t="str">
        <f t="shared" si="1"/>
        <v/>
      </c>
      <c r="N66" s="17" t="str">
        <f t="shared" si="2"/>
        <v/>
      </c>
      <c r="O66" s="17" t="str">
        <f t="shared" si="3"/>
        <v/>
      </c>
    </row>
    <row r="67" spans="3:15" x14ac:dyDescent="0.25">
      <c r="C67" s="17"/>
      <c r="D67" s="9"/>
      <c r="I67" s="17"/>
      <c r="L67" s="33" t="str">
        <f t="shared" si="0"/>
        <v/>
      </c>
      <c r="M67" s="17" t="str">
        <f t="shared" si="1"/>
        <v/>
      </c>
      <c r="N67" s="17" t="str">
        <f t="shared" si="2"/>
        <v/>
      </c>
      <c r="O67" s="17" t="str">
        <f t="shared" si="3"/>
        <v/>
      </c>
    </row>
    <row r="68" spans="3:15" x14ac:dyDescent="0.25">
      <c r="C68" s="17"/>
      <c r="D68" s="9"/>
      <c r="I68" s="17"/>
      <c r="L68" s="33" t="str">
        <f t="shared" si="0"/>
        <v/>
      </c>
      <c r="M68" s="17" t="str">
        <f t="shared" si="1"/>
        <v/>
      </c>
      <c r="N68" s="17" t="str">
        <f t="shared" si="2"/>
        <v/>
      </c>
      <c r="O68" s="17" t="str">
        <f t="shared" si="3"/>
        <v/>
      </c>
    </row>
    <row r="69" spans="3:15" x14ac:dyDescent="0.25">
      <c r="C69" s="17"/>
      <c r="D69" s="9"/>
      <c r="I69" s="17"/>
      <c r="L69" s="33" t="str">
        <f t="shared" si="0"/>
        <v/>
      </c>
      <c r="M69" s="17" t="str">
        <f t="shared" si="1"/>
        <v/>
      </c>
      <c r="N69" s="17" t="str">
        <f t="shared" si="2"/>
        <v/>
      </c>
      <c r="O69" s="17" t="str">
        <f t="shared" si="3"/>
        <v/>
      </c>
    </row>
    <row r="70" spans="3:15" x14ac:dyDescent="0.25">
      <c r="C70" s="17"/>
      <c r="D70" s="9"/>
      <c r="I70" s="17"/>
      <c r="L70" s="33" t="str">
        <f t="shared" si="0"/>
        <v/>
      </c>
      <c r="M70" s="17" t="str">
        <f t="shared" si="1"/>
        <v/>
      </c>
      <c r="N70" s="17" t="str">
        <f t="shared" si="2"/>
        <v/>
      </c>
      <c r="O70" s="17" t="str">
        <f t="shared" si="3"/>
        <v/>
      </c>
    </row>
    <row r="71" spans="3:15" x14ac:dyDescent="0.25">
      <c r="C71" s="17"/>
      <c r="D71" s="9"/>
      <c r="I71" s="17"/>
      <c r="L71" s="33" t="str">
        <f t="shared" ref="L71:L134" si="4">IF(J71="", "", L70+J71)</f>
        <v/>
      </c>
      <c r="M71" s="17" t="str">
        <f t="shared" ref="M71:M134" si="5">IF(J71="", "",IF(E71="Buy", (L70*M70+(-K71))/L71, M70))</f>
        <v/>
      </c>
      <c r="N71" s="17" t="str">
        <f t="shared" ref="N71:N134" si="6">IF(J71="", "", IF(E71="Sell",K71, 0))</f>
        <v/>
      </c>
      <c r="O71" s="17" t="str">
        <f t="shared" ref="O71:O134" si="7">IF(J71="", "", IF(E71="Sell", N71+J71*M71, 0))</f>
        <v/>
      </c>
    </row>
    <row r="72" spans="3:15" x14ac:dyDescent="0.25">
      <c r="C72" s="17"/>
      <c r="D72" s="9"/>
      <c r="I72" s="17"/>
      <c r="L72" s="33" t="str">
        <f t="shared" si="4"/>
        <v/>
      </c>
      <c r="M72" s="17" t="str">
        <f t="shared" si="5"/>
        <v/>
      </c>
      <c r="N72" s="17" t="str">
        <f t="shared" si="6"/>
        <v/>
      </c>
      <c r="O72" s="17" t="str">
        <f t="shared" si="7"/>
        <v/>
      </c>
    </row>
    <row r="73" spans="3:15" x14ac:dyDescent="0.25">
      <c r="C73" s="17"/>
      <c r="D73" s="9"/>
      <c r="I73" s="17"/>
      <c r="L73" s="33" t="str">
        <f t="shared" si="4"/>
        <v/>
      </c>
      <c r="M73" s="17" t="str">
        <f t="shared" si="5"/>
        <v/>
      </c>
      <c r="N73" s="17" t="str">
        <f t="shared" si="6"/>
        <v/>
      </c>
      <c r="O73" s="17" t="str">
        <f t="shared" si="7"/>
        <v/>
      </c>
    </row>
    <row r="74" spans="3:15" x14ac:dyDescent="0.25">
      <c r="C74" s="17"/>
      <c r="D74" s="9"/>
      <c r="I74" s="17"/>
      <c r="L74" s="33" t="str">
        <f t="shared" si="4"/>
        <v/>
      </c>
      <c r="M74" s="17" t="str">
        <f t="shared" si="5"/>
        <v/>
      </c>
      <c r="N74" s="17" t="str">
        <f t="shared" si="6"/>
        <v/>
      </c>
      <c r="O74" s="17" t="str">
        <f t="shared" si="7"/>
        <v/>
      </c>
    </row>
    <row r="75" spans="3:15" x14ac:dyDescent="0.25">
      <c r="C75" s="17"/>
      <c r="D75" s="9"/>
      <c r="I75" s="17"/>
      <c r="L75" s="33" t="str">
        <f t="shared" si="4"/>
        <v/>
      </c>
      <c r="M75" s="17" t="str">
        <f t="shared" si="5"/>
        <v/>
      </c>
      <c r="N75" s="17" t="str">
        <f t="shared" si="6"/>
        <v/>
      </c>
      <c r="O75" s="17" t="str">
        <f t="shared" si="7"/>
        <v/>
      </c>
    </row>
    <row r="76" spans="3:15" x14ac:dyDescent="0.25">
      <c r="C76" s="17"/>
      <c r="D76" s="9"/>
      <c r="I76" s="17"/>
      <c r="L76" s="33" t="str">
        <f t="shared" si="4"/>
        <v/>
      </c>
      <c r="M76" s="17" t="str">
        <f t="shared" si="5"/>
        <v/>
      </c>
      <c r="N76" s="17" t="str">
        <f t="shared" si="6"/>
        <v/>
      </c>
      <c r="O76" s="17" t="str">
        <f t="shared" si="7"/>
        <v/>
      </c>
    </row>
    <row r="77" spans="3:15" x14ac:dyDescent="0.25">
      <c r="C77" s="17"/>
      <c r="D77" s="9"/>
      <c r="I77" s="17"/>
      <c r="L77" s="33" t="str">
        <f t="shared" si="4"/>
        <v/>
      </c>
      <c r="M77" s="17" t="str">
        <f t="shared" si="5"/>
        <v/>
      </c>
      <c r="N77" s="17" t="str">
        <f t="shared" si="6"/>
        <v/>
      </c>
      <c r="O77" s="17" t="str">
        <f t="shared" si="7"/>
        <v/>
      </c>
    </row>
    <row r="78" spans="3:15" x14ac:dyDescent="0.25">
      <c r="C78" s="17"/>
      <c r="D78" s="9"/>
      <c r="I78" s="17"/>
      <c r="L78" s="33" t="str">
        <f t="shared" si="4"/>
        <v/>
      </c>
      <c r="M78" s="17" t="str">
        <f t="shared" si="5"/>
        <v/>
      </c>
      <c r="N78" s="17" t="str">
        <f t="shared" si="6"/>
        <v/>
      </c>
      <c r="O78" s="17" t="str">
        <f t="shared" si="7"/>
        <v/>
      </c>
    </row>
    <row r="79" spans="3:15" x14ac:dyDescent="0.25">
      <c r="C79" s="17"/>
      <c r="D79" s="9"/>
      <c r="I79" s="17"/>
      <c r="L79" s="33" t="str">
        <f t="shared" si="4"/>
        <v/>
      </c>
      <c r="M79" s="17" t="str">
        <f t="shared" si="5"/>
        <v/>
      </c>
      <c r="N79" s="17" t="str">
        <f t="shared" si="6"/>
        <v/>
      </c>
      <c r="O79" s="17" t="str">
        <f t="shared" si="7"/>
        <v/>
      </c>
    </row>
    <row r="80" spans="3:15" x14ac:dyDescent="0.25">
      <c r="C80" s="17"/>
      <c r="D80" s="9"/>
      <c r="I80" s="17"/>
      <c r="L80" s="33" t="str">
        <f t="shared" si="4"/>
        <v/>
      </c>
      <c r="M80" s="17" t="str">
        <f t="shared" si="5"/>
        <v/>
      </c>
      <c r="N80" s="17" t="str">
        <f t="shared" si="6"/>
        <v/>
      </c>
      <c r="O80" s="17" t="str">
        <f t="shared" si="7"/>
        <v/>
      </c>
    </row>
    <row r="81" spans="3:15" x14ac:dyDescent="0.25">
      <c r="C81" s="17"/>
      <c r="D81" s="9"/>
      <c r="I81" s="17"/>
      <c r="L81" s="33" t="str">
        <f t="shared" si="4"/>
        <v/>
      </c>
      <c r="M81" s="17" t="str">
        <f t="shared" si="5"/>
        <v/>
      </c>
      <c r="N81" s="17" t="str">
        <f t="shared" si="6"/>
        <v/>
      </c>
      <c r="O81" s="17" t="str">
        <f t="shared" si="7"/>
        <v/>
      </c>
    </row>
    <row r="82" spans="3:15" x14ac:dyDescent="0.25">
      <c r="C82" s="17"/>
      <c r="D82" s="9"/>
      <c r="I82" s="17"/>
      <c r="L82" s="33" t="str">
        <f t="shared" si="4"/>
        <v/>
      </c>
      <c r="M82" s="17" t="str">
        <f t="shared" si="5"/>
        <v/>
      </c>
      <c r="N82" s="17" t="str">
        <f t="shared" si="6"/>
        <v/>
      </c>
      <c r="O82" s="17" t="str">
        <f t="shared" si="7"/>
        <v/>
      </c>
    </row>
    <row r="83" spans="3:15" x14ac:dyDescent="0.25">
      <c r="C83" s="17"/>
      <c r="D83" s="9"/>
      <c r="I83" s="17"/>
      <c r="L83" s="33" t="str">
        <f t="shared" si="4"/>
        <v/>
      </c>
      <c r="M83" s="17" t="str">
        <f t="shared" si="5"/>
        <v/>
      </c>
      <c r="N83" s="17" t="str">
        <f t="shared" si="6"/>
        <v/>
      </c>
      <c r="O83" s="17" t="str">
        <f t="shared" si="7"/>
        <v/>
      </c>
    </row>
    <row r="84" spans="3:15" x14ac:dyDescent="0.25">
      <c r="C84" s="17"/>
      <c r="D84" s="9"/>
      <c r="I84" s="17"/>
      <c r="L84" s="33" t="str">
        <f t="shared" si="4"/>
        <v/>
      </c>
      <c r="M84" s="17" t="str">
        <f t="shared" si="5"/>
        <v/>
      </c>
      <c r="N84" s="17" t="str">
        <f t="shared" si="6"/>
        <v/>
      </c>
      <c r="O84" s="17" t="str">
        <f t="shared" si="7"/>
        <v/>
      </c>
    </row>
    <row r="85" spans="3:15" x14ac:dyDescent="0.25">
      <c r="C85" s="17"/>
      <c r="D85" s="9"/>
      <c r="I85" s="17"/>
      <c r="L85" s="33" t="str">
        <f t="shared" si="4"/>
        <v/>
      </c>
      <c r="M85" s="17" t="str">
        <f t="shared" si="5"/>
        <v/>
      </c>
      <c r="N85" s="17" t="str">
        <f t="shared" si="6"/>
        <v/>
      </c>
      <c r="O85" s="17" t="str">
        <f t="shared" si="7"/>
        <v/>
      </c>
    </row>
    <row r="86" spans="3:15" x14ac:dyDescent="0.25">
      <c r="C86" s="17"/>
      <c r="D86" s="9"/>
      <c r="I86" s="17"/>
      <c r="L86" s="33" t="str">
        <f t="shared" si="4"/>
        <v/>
      </c>
      <c r="M86" s="17" t="str">
        <f t="shared" si="5"/>
        <v/>
      </c>
      <c r="N86" s="17" t="str">
        <f t="shared" si="6"/>
        <v/>
      </c>
      <c r="O86" s="17" t="str">
        <f t="shared" si="7"/>
        <v/>
      </c>
    </row>
    <row r="87" spans="3:15" x14ac:dyDescent="0.25">
      <c r="C87" s="17"/>
      <c r="D87" s="9"/>
      <c r="I87" s="17"/>
      <c r="L87" s="33" t="str">
        <f t="shared" si="4"/>
        <v/>
      </c>
      <c r="M87" s="17" t="str">
        <f t="shared" si="5"/>
        <v/>
      </c>
      <c r="N87" s="17" t="str">
        <f t="shared" si="6"/>
        <v/>
      </c>
      <c r="O87" s="17" t="str">
        <f t="shared" si="7"/>
        <v/>
      </c>
    </row>
    <row r="88" spans="3:15" x14ac:dyDescent="0.25">
      <c r="C88" s="17"/>
      <c r="D88" s="9"/>
      <c r="I88" s="17"/>
      <c r="L88" s="33" t="str">
        <f t="shared" si="4"/>
        <v/>
      </c>
      <c r="M88" s="17" t="str">
        <f t="shared" si="5"/>
        <v/>
      </c>
      <c r="N88" s="17" t="str">
        <f t="shared" si="6"/>
        <v/>
      </c>
      <c r="O88" s="17" t="str">
        <f t="shared" si="7"/>
        <v/>
      </c>
    </row>
    <row r="89" spans="3:15" x14ac:dyDescent="0.25">
      <c r="C89" s="17"/>
      <c r="D89" s="9"/>
      <c r="I89" s="17"/>
      <c r="L89" s="33" t="str">
        <f t="shared" si="4"/>
        <v/>
      </c>
      <c r="M89" s="17" t="str">
        <f t="shared" si="5"/>
        <v/>
      </c>
      <c r="N89" s="17" t="str">
        <f t="shared" si="6"/>
        <v/>
      </c>
      <c r="O89" s="17" t="str">
        <f t="shared" si="7"/>
        <v/>
      </c>
    </row>
    <row r="90" spans="3:15" x14ac:dyDescent="0.25">
      <c r="C90" s="17"/>
      <c r="D90" s="9"/>
      <c r="I90" s="17"/>
      <c r="L90" s="33" t="str">
        <f t="shared" si="4"/>
        <v/>
      </c>
      <c r="M90" s="17" t="str">
        <f t="shared" si="5"/>
        <v/>
      </c>
      <c r="N90" s="17" t="str">
        <f t="shared" si="6"/>
        <v/>
      </c>
      <c r="O90" s="17" t="str">
        <f t="shared" si="7"/>
        <v/>
      </c>
    </row>
    <row r="91" spans="3:15" x14ac:dyDescent="0.25">
      <c r="C91" s="17"/>
      <c r="D91" s="9"/>
      <c r="I91" s="17"/>
      <c r="L91" s="33" t="str">
        <f t="shared" si="4"/>
        <v/>
      </c>
      <c r="M91" s="17" t="str">
        <f t="shared" si="5"/>
        <v/>
      </c>
      <c r="N91" s="17" t="str">
        <f t="shared" si="6"/>
        <v/>
      </c>
      <c r="O91" s="17" t="str">
        <f t="shared" si="7"/>
        <v/>
      </c>
    </row>
    <row r="92" spans="3:15" x14ac:dyDescent="0.25">
      <c r="C92" s="17"/>
      <c r="D92" s="9"/>
      <c r="I92" s="17"/>
      <c r="L92" s="33" t="str">
        <f t="shared" si="4"/>
        <v/>
      </c>
      <c r="M92" s="17" t="str">
        <f t="shared" si="5"/>
        <v/>
      </c>
      <c r="N92" s="17" t="str">
        <f t="shared" si="6"/>
        <v/>
      </c>
      <c r="O92" s="17" t="str">
        <f t="shared" si="7"/>
        <v/>
      </c>
    </row>
    <row r="93" spans="3:15" x14ac:dyDescent="0.25">
      <c r="C93" s="17"/>
      <c r="D93" s="9"/>
      <c r="I93" s="17"/>
      <c r="L93" s="33" t="str">
        <f t="shared" si="4"/>
        <v/>
      </c>
      <c r="M93" s="17" t="str">
        <f t="shared" si="5"/>
        <v/>
      </c>
      <c r="N93" s="17" t="str">
        <f t="shared" si="6"/>
        <v/>
      </c>
      <c r="O93" s="17" t="str">
        <f t="shared" si="7"/>
        <v/>
      </c>
    </row>
    <row r="94" spans="3:15" x14ac:dyDescent="0.25">
      <c r="C94" s="17"/>
      <c r="D94" s="9"/>
      <c r="I94" s="17"/>
      <c r="L94" s="33" t="str">
        <f t="shared" si="4"/>
        <v/>
      </c>
      <c r="M94" s="17" t="str">
        <f t="shared" si="5"/>
        <v/>
      </c>
      <c r="N94" s="17" t="str">
        <f t="shared" si="6"/>
        <v/>
      </c>
      <c r="O94" s="17" t="str">
        <f t="shared" si="7"/>
        <v/>
      </c>
    </row>
    <row r="95" spans="3:15" x14ac:dyDescent="0.25">
      <c r="C95" s="17"/>
      <c r="D95" s="9"/>
      <c r="I95" s="17"/>
      <c r="L95" s="33" t="str">
        <f t="shared" si="4"/>
        <v/>
      </c>
      <c r="M95" s="17" t="str">
        <f t="shared" si="5"/>
        <v/>
      </c>
      <c r="N95" s="17" t="str">
        <f t="shared" si="6"/>
        <v/>
      </c>
      <c r="O95" s="17" t="str">
        <f t="shared" si="7"/>
        <v/>
      </c>
    </row>
    <row r="96" spans="3:15" x14ac:dyDescent="0.25">
      <c r="C96" s="17"/>
      <c r="D96" s="9"/>
      <c r="I96" s="17"/>
      <c r="L96" s="33" t="str">
        <f t="shared" si="4"/>
        <v/>
      </c>
      <c r="M96" s="17" t="str">
        <f t="shared" si="5"/>
        <v/>
      </c>
      <c r="N96" s="17" t="str">
        <f t="shared" si="6"/>
        <v/>
      </c>
      <c r="O96" s="17" t="str">
        <f t="shared" si="7"/>
        <v/>
      </c>
    </row>
    <row r="97" spans="3:15" x14ac:dyDescent="0.25">
      <c r="C97" s="17"/>
      <c r="D97" s="9"/>
      <c r="I97" s="17"/>
      <c r="L97" s="33" t="str">
        <f t="shared" si="4"/>
        <v/>
      </c>
      <c r="M97" s="17" t="str">
        <f t="shared" si="5"/>
        <v/>
      </c>
      <c r="N97" s="17" t="str">
        <f t="shared" si="6"/>
        <v/>
      </c>
      <c r="O97" s="17" t="str">
        <f t="shared" si="7"/>
        <v/>
      </c>
    </row>
    <row r="98" spans="3:15" x14ac:dyDescent="0.25">
      <c r="C98" s="17"/>
      <c r="D98" s="9"/>
      <c r="I98" s="17"/>
      <c r="L98" s="33" t="str">
        <f t="shared" si="4"/>
        <v/>
      </c>
      <c r="M98" s="17" t="str">
        <f t="shared" si="5"/>
        <v/>
      </c>
      <c r="N98" s="17" t="str">
        <f t="shared" si="6"/>
        <v/>
      </c>
      <c r="O98" s="17" t="str">
        <f t="shared" si="7"/>
        <v/>
      </c>
    </row>
    <row r="99" spans="3:15" x14ac:dyDescent="0.25">
      <c r="C99" s="17"/>
      <c r="D99" s="9"/>
      <c r="I99" s="17"/>
      <c r="L99" s="33" t="str">
        <f t="shared" si="4"/>
        <v/>
      </c>
      <c r="M99" s="17" t="str">
        <f t="shared" si="5"/>
        <v/>
      </c>
      <c r="N99" s="17" t="str">
        <f t="shared" si="6"/>
        <v/>
      </c>
      <c r="O99" s="17" t="str">
        <f t="shared" si="7"/>
        <v/>
      </c>
    </row>
    <row r="100" spans="3:15" x14ac:dyDescent="0.25">
      <c r="C100" s="17"/>
      <c r="D100" s="9"/>
      <c r="I100" s="17"/>
      <c r="L100" s="33" t="str">
        <f t="shared" si="4"/>
        <v/>
      </c>
      <c r="M100" s="17" t="str">
        <f t="shared" si="5"/>
        <v/>
      </c>
      <c r="N100" s="17" t="str">
        <f t="shared" si="6"/>
        <v/>
      </c>
      <c r="O100" s="17" t="str">
        <f t="shared" si="7"/>
        <v/>
      </c>
    </row>
    <row r="101" spans="3:15" x14ac:dyDescent="0.25">
      <c r="C101" s="17"/>
      <c r="D101" s="9"/>
      <c r="I101" s="17"/>
      <c r="L101" s="33" t="str">
        <f t="shared" si="4"/>
        <v/>
      </c>
      <c r="M101" s="17" t="str">
        <f t="shared" si="5"/>
        <v/>
      </c>
      <c r="N101" s="17" t="str">
        <f t="shared" si="6"/>
        <v/>
      </c>
      <c r="O101" s="17" t="str">
        <f t="shared" si="7"/>
        <v/>
      </c>
    </row>
    <row r="102" spans="3:15" x14ac:dyDescent="0.25">
      <c r="C102" s="17"/>
      <c r="D102" s="9"/>
      <c r="I102" s="17"/>
      <c r="L102" s="33" t="str">
        <f t="shared" si="4"/>
        <v/>
      </c>
      <c r="M102" s="17" t="str">
        <f t="shared" si="5"/>
        <v/>
      </c>
      <c r="N102" s="17" t="str">
        <f t="shared" si="6"/>
        <v/>
      </c>
      <c r="O102" s="17" t="str">
        <f t="shared" si="7"/>
        <v/>
      </c>
    </row>
    <row r="103" spans="3:15" x14ac:dyDescent="0.25">
      <c r="C103" s="17"/>
      <c r="D103" s="9"/>
      <c r="I103" s="17"/>
      <c r="L103" s="33" t="str">
        <f t="shared" si="4"/>
        <v/>
      </c>
      <c r="M103" s="17" t="str">
        <f t="shared" si="5"/>
        <v/>
      </c>
      <c r="N103" s="17" t="str">
        <f t="shared" si="6"/>
        <v/>
      </c>
      <c r="O103" s="17" t="str">
        <f t="shared" si="7"/>
        <v/>
      </c>
    </row>
    <row r="104" spans="3:15" x14ac:dyDescent="0.25">
      <c r="C104" s="17"/>
      <c r="D104" s="9"/>
      <c r="I104" s="17"/>
      <c r="L104" s="33" t="str">
        <f t="shared" si="4"/>
        <v/>
      </c>
      <c r="M104" s="17" t="str">
        <f t="shared" si="5"/>
        <v/>
      </c>
      <c r="N104" s="17" t="str">
        <f t="shared" si="6"/>
        <v/>
      </c>
      <c r="O104" s="17" t="str">
        <f t="shared" si="7"/>
        <v/>
      </c>
    </row>
    <row r="105" spans="3:15" x14ac:dyDescent="0.25">
      <c r="C105" s="17"/>
      <c r="D105" s="9"/>
      <c r="I105" s="17"/>
      <c r="L105" s="33" t="str">
        <f t="shared" si="4"/>
        <v/>
      </c>
      <c r="M105" s="17" t="str">
        <f t="shared" si="5"/>
        <v/>
      </c>
      <c r="N105" s="17" t="str">
        <f t="shared" si="6"/>
        <v/>
      </c>
      <c r="O105" s="17" t="str">
        <f t="shared" si="7"/>
        <v/>
      </c>
    </row>
    <row r="106" spans="3:15" x14ac:dyDescent="0.25">
      <c r="C106" s="17"/>
      <c r="D106" s="9"/>
      <c r="I106" s="17"/>
      <c r="L106" s="33" t="str">
        <f t="shared" si="4"/>
        <v/>
      </c>
      <c r="M106" s="17" t="str">
        <f t="shared" si="5"/>
        <v/>
      </c>
      <c r="N106" s="17" t="str">
        <f t="shared" si="6"/>
        <v/>
      </c>
      <c r="O106" s="17" t="str">
        <f t="shared" si="7"/>
        <v/>
      </c>
    </row>
    <row r="107" spans="3:15" x14ac:dyDescent="0.25">
      <c r="C107" s="17"/>
      <c r="D107" s="9"/>
      <c r="I107" s="17"/>
      <c r="L107" s="33" t="str">
        <f t="shared" si="4"/>
        <v/>
      </c>
      <c r="M107" s="17" t="str">
        <f t="shared" si="5"/>
        <v/>
      </c>
      <c r="N107" s="17" t="str">
        <f t="shared" si="6"/>
        <v/>
      </c>
      <c r="O107" s="17" t="str">
        <f t="shared" si="7"/>
        <v/>
      </c>
    </row>
    <row r="108" spans="3:15" x14ac:dyDescent="0.25">
      <c r="C108" s="17"/>
      <c r="D108" s="9"/>
      <c r="I108" s="17"/>
      <c r="L108" s="33" t="str">
        <f t="shared" si="4"/>
        <v/>
      </c>
      <c r="M108" s="17" t="str">
        <f t="shared" si="5"/>
        <v/>
      </c>
      <c r="N108" s="17" t="str">
        <f t="shared" si="6"/>
        <v/>
      </c>
      <c r="O108" s="17" t="str">
        <f t="shared" si="7"/>
        <v/>
      </c>
    </row>
    <row r="109" spans="3:15" x14ac:dyDescent="0.25">
      <c r="C109" s="17"/>
      <c r="D109" s="9"/>
      <c r="I109" s="17"/>
      <c r="L109" s="33" t="str">
        <f t="shared" si="4"/>
        <v/>
      </c>
      <c r="M109" s="17" t="str">
        <f t="shared" si="5"/>
        <v/>
      </c>
      <c r="N109" s="17" t="str">
        <f t="shared" si="6"/>
        <v/>
      </c>
      <c r="O109" s="17" t="str">
        <f t="shared" si="7"/>
        <v/>
      </c>
    </row>
    <row r="110" spans="3:15" x14ac:dyDescent="0.25">
      <c r="C110" s="17"/>
      <c r="D110" s="9"/>
      <c r="I110" s="17"/>
      <c r="L110" s="33" t="str">
        <f t="shared" si="4"/>
        <v/>
      </c>
      <c r="M110" s="17" t="str">
        <f t="shared" si="5"/>
        <v/>
      </c>
      <c r="N110" s="17" t="str">
        <f t="shared" si="6"/>
        <v/>
      </c>
      <c r="O110" s="17" t="str">
        <f t="shared" si="7"/>
        <v/>
      </c>
    </row>
    <row r="111" spans="3:15" x14ac:dyDescent="0.25">
      <c r="C111" s="17"/>
      <c r="D111" s="9"/>
      <c r="I111" s="17"/>
      <c r="L111" s="33" t="str">
        <f t="shared" si="4"/>
        <v/>
      </c>
      <c r="M111" s="17" t="str">
        <f t="shared" si="5"/>
        <v/>
      </c>
      <c r="N111" s="17" t="str">
        <f t="shared" si="6"/>
        <v/>
      </c>
      <c r="O111" s="17" t="str">
        <f t="shared" si="7"/>
        <v/>
      </c>
    </row>
    <row r="112" spans="3:15" x14ac:dyDescent="0.25">
      <c r="C112" s="17"/>
      <c r="D112" s="9"/>
      <c r="I112" s="17"/>
      <c r="L112" s="33" t="str">
        <f t="shared" si="4"/>
        <v/>
      </c>
      <c r="M112" s="17" t="str">
        <f t="shared" si="5"/>
        <v/>
      </c>
      <c r="N112" s="17" t="str">
        <f t="shared" si="6"/>
        <v/>
      </c>
      <c r="O112" s="17" t="str">
        <f t="shared" si="7"/>
        <v/>
      </c>
    </row>
    <row r="113" spans="3:15" x14ac:dyDescent="0.25">
      <c r="C113" s="17"/>
      <c r="D113" s="9"/>
      <c r="I113" s="17"/>
      <c r="L113" s="33" t="str">
        <f t="shared" si="4"/>
        <v/>
      </c>
      <c r="M113" s="17" t="str">
        <f t="shared" si="5"/>
        <v/>
      </c>
      <c r="N113" s="17" t="str">
        <f t="shared" si="6"/>
        <v/>
      </c>
      <c r="O113" s="17" t="str">
        <f t="shared" si="7"/>
        <v/>
      </c>
    </row>
    <row r="114" spans="3:15" x14ac:dyDescent="0.25">
      <c r="C114" s="17"/>
      <c r="D114" s="9"/>
      <c r="I114" s="17"/>
      <c r="L114" s="33" t="str">
        <f t="shared" si="4"/>
        <v/>
      </c>
      <c r="M114" s="17" t="str">
        <f t="shared" si="5"/>
        <v/>
      </c>
      <c r="N114" s="17" t="str">
        <f t="shared" si="6"/>
        <v/>
      </c>
      <c r="O114" s="17" t="str">
        <f t="shared" si="7"/>
        <v/>
      </c>
    </row>
    <row r="115" spans="3:15" x14ac:dyDescent="0.25">
      <c r="C115" s="17"/>
      <c r="D115" s="9"/>
      <c r="I115" s="17"/>
      <c r="L115" s="33" t="str">
        <f t="shared" si="4"/>
        <v/>
      </c>
      <c r="M115" s="17" t="str">
        <f t="shared" si="5"/>
        <v/>
      </c>
      <c r="N115" s="17" t="str">
        <f t="shared" si="6"/>
        <v/>
      </c>
      <c r="O115" s="17" t="str">
        <f t="shared" si="7"/>
        <v/>
      </c>
    </row>
    <row r="116" spans="3:15" x14ac:dyDescent="0.25">
      <c r="C116" s="17"/>
      <c r="D116" s="9"/>
      <c r="I116" s="17"/>
      <c r="L116" s="33" t="str">
        <f t="shared" si="4"/>
        <v/>
      </c>
      <c r="M116" s="17" t="str">
        <f t="shared" si="5"/>
        <v/>
      </c>
      <c r="N116" s="17" t="str">
        <f t="shared" si="6"/>
        <v/>
      </c>
      <c r="O116" s="17" t="str">
        <f t="shared" si="7"/>
        <v/>
      </c>
    </row>
    <row r="117" spans="3:15" x14ac:dyDescent="0.25">
      <c r="C117" s="17"/>
      <c r="D117" s="9"/>
      <c r="I117" s="17"/>
      <c r="L117" s="33" t="str">
        <f t="shared" si="4"/>
        <v/>
      </c>
      <c r="M117" s="17" t="str">
        <f t="shared" si="5"/>
        <v/>
      </c>
      <c r="N117" s="17" t="str">
        <f t="shared" si="6"/>
        <v/>
      </c>
      <c r="O117" s="17" t="str">
        <f t="shared" si="7"/>
        <v/>
      </c>
    </row>
    <row r="118" spans="3:15" x14ac:dyDescent="0.25">
      <c r="C118" s="17"/>
      <c r="D118" s="9"/>
      <c r="I118" s="17"/>
      <c r="L118" s="33" t="str">
        <f t="shared" si="4"/>
        <v/>
      </c>
      <c r="M118" s="17" t="str">
        <f t="shared" si="5"/>
        <v/>
      </c>
      <c r="N118" s="17" t="str">
        <f t="shared" si="6"/>
        <v/>
      </c>
      <c r="O118" s="17" t="str">
        <f t="shared" si="7"/>
        <v/>
      </c>
    </row>
    <row r="119" spans="3:15" x14ac:dyDescent="0.25">
      <c r="C119" s="17"/>
      <c r="D119" s="9"/>
      <c r="I119" s="17"/>
      <c r="L119" s="33" t="str">
        <f t="shared" si="4"/>
        <v/>
      </c>
      <c r="M119" s="17" t="str">
        <f t="shared" si="5"/>
        <v/>
      </c>
      <c r="N119" s="17" t="str">
        <f t="shared" si="6"/>
        <v/>
      </c>
      <c r="O119" s="17" t="str">
        <f t="shared" si="7"/>
        <v/>
      </c>
    </row>
    <row r="120" spans="3:15" x14ac:dyDescent="0.25">
      <c r="C120" s="17"/>
      <c r="D120" s="9"/>
      <c r="I120" s="17"/>
      <c r="L120" s="33" t="str">
        <f t="shared" si="4"/>
        <v/>
      </c>
      <c r="M120" s="17" t="str">
        <f t="shared" si="5"/>
        <v/>
      </c>
      <c r="N120" s="17" t="str">
        <f t="shared" si="6"/>
        <v/>
      </c>
      <c r="O120" s="17" t="str">
        <f t="shared" si="7"/>
        <v/>
      </c>
    </row>
    <row r="121" spans="3:15" x14ac:dyDescent="0.25">
      <c r="C121" s="17"/>
      <c r="D121" s="9"/>
      <c r="I121" s="17"/>
      <c r="L121" s="33" t="str">
        <f t="shared" si="4"/>
        <v/>
      </c>
      <c r="M121" s="17" t="str">
        <f t="shared" si="5"/>
        <v/>
      </c>
      <c r="N121" s="17" t="str">
        <f t="shared" si="6"/>
        <v/>
      </c>
      <c r="O121" s="17" t="str">
        <f t="shared" si="7"/>
        <v/>
      </c>
    </row>
    <row r="122" spans="3:15" x14ac:dyDescent="0.25">
      <c r="C122" s="17"/>
      <c r="D122" s="9"/>
      <c r="I122" s="17"/>
      <c r="L122" s="33" t="str">
        <f t="shared" si="4"/>
        <v/>
      </c>
      <c r="M122" s="17" t="str">
        <f t="shared" si="5"/>
        <v/>
      </c>
      <c r="N122" s="17" t="str">
        <f t="shared" si="6"/>
        <v/>
      </c>
      <c r="O122" s="17" t="str">
        <f t="shared" si="7"/>
        <v/>
      </c>
    </row>
    <row r="123" spans="3:15" x14ac:dyDescent="0.25">
      <c r="C123" s="17"/>
      <c r="D123" s="9"/>
      <c r="I123" s="17"/>
      <c r="L123" s="33" t="str">
        <f t="shared" si="4"/>
        <v/>
      </c>
      <c r="M123" s="17" t="str">
        <f t="shared" si="5"/>
        <v/>
      </c>
      <c r="N123" s="17" t="str">
        <f t="shared" si="6"/>
        <v/>
      </c>
      <c r="O123" s="17" t="str">
        <f t="shared" si="7"/>
        <v/>
      </c>
    </row>
    <row r="124" spans="3:15" x14ac:dyDescent="0.25">
      <c r="C124" s="17"/>
      <c r="D124" s="9"/>
      <c r="I124" s="17"/>
      <c r="L124" s="33" t="str">
        <f t="shared" si="4"/>
        <v/>
      </c>
      <c r="M124" s="17" t="str">
        <f t="shared" si="5"/>
        <v/>
      </c>
      <c r="N124" s="17" t="str">
        <f t="shared" si="6"/>
        <v/>
      </c>
      <c r="O124" s="17" t="str">
        <f t="shared" si="7"/>
        <v/>
      </c>
    </row>
    <row r="125" spans="3:15" x14ac:dyDescent="0.25">
      <c r="C125" s="17"/>
      <c r="D125" s="9"/>
      <c r="I125" s="17"/>
      <c r="L125" s="33" t="str">
        <f t="shared" si="4"/>
        <v/>
      </c>
      <c r="M125" s="17" t="str">
        <f t="shared" si="5"/>
        <v/>
      </c>
      <c r="N125" s="17" t="str">
        <f t="shared" si="6"/>
        <v/>
      </c>
      <c r="O125" s="17" t="str">
        <f t="shared" si="7"/>
        <v/>
      </c>
    </row>
    <row r="126" spans="3:15" x14ac:dyDescent="0.25">
      <c r="C126" s="17"/>
      <c r="D126" s="9"/>
      <c r="I126" s="17"/>
      <c r="L126" s="33" t="str">
        <f t="shared" si="4"/>
        <v/>
      </c>
      <c r="M126" s="17" t="str">
        <f t="shared" si="5"/>
        <v/>
      </c>
      <c r="N126" s="17" t="str">
        <f t="shared" si="6"/>
        <v/>
      </c>
      <c r="O126" s="17" t="str">
        <f t="shared" si="7"/>
        <v/>
      </c>
    </row>
    <row r="127" spans="3:15" x14ac:dyDescent="0.25">
      <c r="C127" s="17"/>
      <c r="D127" s="9"/>
      <c r="I127" s="17"/>
      <c r="L127" s="33" t="str">
        <f t="shared" si="4"/>
        <v/>
      </c>
      <c r="M127" s="17" t="str">
        <f t="shared" si="5"/>
        <v/>
      </c>
      <c r="N127" s="17" t="str">
        <f t="shared" si="6"/>
        <v/>
      </c>
      <c r="O127" s="17" t="str">
        <f t="shared" si="7"/>
        <v/>
      </c>
    </row>
    <row r="128" spans="3:15" x14ac:dyDescent="0.25">
      <c r="C128" s="17"/>
      <c r="D128" s="9"/>
      <c r="I128" s="17"/>
      <c r="L128" s="33" t="str">
        <f t="shared" si="4"/>
        <v/>
      </c>
      <c r="M128" s="17" t="str">
        <f t="shared" si="5"/>
        <v/>
      </c>
      <c r="N128" s="17" t="str">
        <f t="shared" si="6"/>
        <v/>
      </c>
      <c r="O128" s="17" t="str">
        <f t="shared" si="7"/>
        <v/>
      </c>
    </row>
    <row r="129" spans="3:15" x14ac:dyDescent="0.25">
      <c r="C129" s="17"/>
      <c r="D129" s="9"/>
      <c r="I129" s="17"/>
      <c r="L129" s="33" t="str">
        <f t="shared" si="4"/>
        <v/>
      </c>
      <c r="M129" s="17" t="str">
        <f t="shared" si="5"/>
        <v/>
      </c>
      <c r="N129" s="17" t="str">
        <f t="shared" si="6"/>
        <v/>
      </c>
      <c r="O129" s="17" t="str">
        <f t="shared" si="7"/>
        <v/>
      </c>
    </row>
    <row r="130" spans="3:15" x14ac:dyDescent="0.25">
      <c r="C130" s="17"/>
      <c r="D130" s="9"/>
      <c r="I130" s="17"/>
      <c r="L130" s="33" t="str">
        <f t="shared" si="4"/>
        <v/>
      </c>
      <c r="M130" s="17" t="str">
        <f t="shared" si="5"/>
        <v/>
      </c>
      <c r="N130" s="17" t="str">
        <f t="shared" si="6"/>
        <v/>
      </c>
      <c r="O130" s="17" t="str">
        <f t="shared" si="7"/>
        <v/>
      </c>
    </row>
    <row r="131" spans="3:15" x14ac:dyDescent="0.25">
      <c r="C131" s="17"/>
      <c r="D131" s="9"/>
      <c r="I131" s="17"/>
      <c r="L131" s="33" t="str">
        <f t="shared" si="4"/>
        <v/>
      </c>
      <c r="M131" s="17" t="str">
        <f t="shared" si="5"/>
        <v/>
      </c>
      <c r="N131" s="17" t="str">
        <f t="shared" si="6"/>
        <v/>
      </c>
      <c r="O131" s="17" t="str">
        <f t="shared" si="7"/>
        <v/>
      </c>
    </row>
    <row r="132" spans="3:15" x14ac:dyDescent="0.25">
      <c r="C132" s="17"/>
      <c r="D132" s="9"/>
      <c r="I132" s="17"/>
      <c r="L132" s="33" t="str">
        <f t="shared" si="4"/>
        <v/>
      </c>
      <c r="M132" s="17" t="str">
        <f t="shared" si="5"/>
        <v/>
      </c>
      <c r="N132" s="17" t="str">
        <f t="shared" si="6"/>
        <v/>
      </c>
      <c r="O132" s="17" t="str">
        <f t="shared" si="7"/>
        <v/>
      </c>
    </row>
    <row r="133" spans="3:15" x14ac:dyDescent="0.25">
      <c r="C133" s="17"/>
      <c r="D133" s="9"/>
      <c r="I133" s="17"/>
      <c r="L133" s="33" t="str">
        <f t="shared" si="4"/>
        <v/>
      </c>
      <c r="M133" s="17" t="str">
        <f t="shared" si="5"/>
        <v/>
      </c>
      <c r="N133" s="17" t="str">
        <f t="shared" si="6"/>
        <v/>
      </c>
      <c r="O133" s="17" t="str">
        <f t="shared" si="7"/>
        <v/>
      </c>
    </row>
    <row r="134" spans="3:15" x14ac:dyDescent="0.25">
      <c r="C134" s="17"/>
      <c r="D134" s="9"/>
      <c r="I134" s="17"/>
      <c r="L134" s="33" t="str">
        <f t="shared" si="4"/>
        <v/>
      </c>
      <c r="M134" s="17" t="str">
        <f t="shared" si="5"/>
        <v/>
      </c>
      <c r="N134" s="17" t="str">
        <f t="shared" si="6"/>
        <v/>
      </c>
      <c r="O134" s="17" t="str">
        <f t="shared" si="7"/>
        <v/>
      </c>
    </row>
    <row r="135" spans="3:15" x14ac:dyDescent="0.25">
      <c r="C135" s="17"/>
      <c r="D135" s="9"/>
      <c r="I135" s="17"/>
      <c r="L135" s="33" t="str">
        <f t="shared" ref="L135:L154" si="8">IF(J135="", "", L134+J135)</f>
        <v/>
      </c>
      <c r="M135" s="17" t="str">
        <f t="shared" ref="M135:M198" si="9">IF(J135="", "",IF(E135="Buy", (L134*M134+(-K135))/L135, M134))</f>
        <v/>
      </c>
      <c r="N135" s="17" t="str">
        <f t="shared" ref="N135:N154" si="10">IF(J135="", "", IF(E135="Sell",K135, 0))</f>
        <v/>
      </c>
      <c r="O135" s="17" t="str">
        <f t="shared" ref="O135:O154" si="11">IF(J135="", "", IF(E135="Sell", N135+J135*M135, 0))</f>
        <v/>
      </c>
    </row>
    <row r="136" spans="3:15" x14ac:dyDescent="0.25">
      <c r="C136" s="17"/>
      <c r="D136" s="9"/>
      <c r="I136" s="17"/>
      <c r="L136" s="33" t="str">
        <f t="shared" si="8"/>
        <v/>
      </c>
      <c r="M136" s="17" t="str">
        <f t="shared" si="9"/>
        <v/>
      </c>
      <c r="N136" s="17" t="str">
        <f t="shared" si="10"/>
        <v/>
      </c>
      <c r="O136" s="17" t="str">
        <f t="shared" si="11"/>
        <v/>
      </c>
    </row>
    <row r="137" spans="3:15" x14ac:dyDescent="0.25">
      <c r="C137" s="17"/>
      <c r="D137" s="9"/>
      <c r="I137" s="17"/>
      <c r="L137" s="33" t="str">
        <f t="shared" si="8"/>
        <v/>
      </c>
      <c r="M137" s="17" t="str">
        <f t="shared" si="9"/>
        <v/>
      </c>
      <c r="N137" s="17" t="str">
        <f t="shared" si="10"/>
        <v/>
      </c>
      <c r="O137" s="17" t="str">
        <f t="shared" si="11"/>
        <v/>
      </c>
    </row>
    <row r="138" spans="3:15" x14ac:dyDescent="0.25">
      <c r="C138" s="17"/>
      <c r="D138" s="9"/>
      <c r="I138" s="17"/>
      <c r="L138" s="33" t="str">
        <f t="shared" si="8"/>
        <v/>
      </c>
      <c r="M138" s="17" t="str">
        <f t="shared" si="9"/>
        <v/>
      </c>
      <c r="N138" s="17" t="str">
        <f t="shared" si="10"/>
        <v/>
      </c>
      <c r="O138" s="17" t="str">
        <f t="shared" si="11"/>
        <v/>
      </c>
    </row>
    <row r="139" spans="3:15" x14ac:dyDescent="0.25">
      <c r="C139" s="17"/>
      <c r="D139" s="9"/>
      <c r="I139" s="17"/>
      <c r="L139" s="33" t="str">
        <f t="shared" si="8"/>
        <v/>
      </c>
      <c r="M139" s="17" t="str">
        <f t="shared" si="9"/>
        <v/>
      </c>
      <c r="N139" s="17" t="str">
        <f t="shared" si="10"/>
        <v/>
      </c>
      <c r="O139" s="17" t="str">
        <f t="shared" si="11"/>
        <v/>
      </c>
    </row>
    <row r="140" spans="3:15" x14ac:dyDescent="0.25">
      <c r="C140" s="17"/>
      <c r="D140" s="9"/>
      <c r="I140" s="17"/>
      <c r="L140" s="33" t="str">
        <f t="shared" si="8"/>
        <v/>
      </c>
      <c r="M140" s="17" t="str">
        <f t="shared" si="9"/>
        <v/>
      </c>
      <c r="N140" s="17" t="str">
        <f t="shared" si="10"/>
        <v/>
      </c>
      <c r="O140" s="17" t="str">
        <f t="shared" si="11"/>
        <v/>
      </c>
    </row>
    <row r="141" spans="3:15" x14ac:dyDescent="0.25">
      <c r="C141" s="17"/>
      <c r="D141" s="9"/>
      <c r="I141" s="17"/>
      <c r="L141" s="33" t="str">
        <f t="shared" si="8"/>
        <v/>
      </c>
      <c r="M141" s="17" t="str">
        <f t="shared" si="9"/>
        <v/>
      </c>
      <c r="N141" s="17" t="str">
        <f t="shared" si="10"/>
        <v/>
      </c>
      <c r="O141" s="17" t="str">
        <f t="shared" si="11"/>
        <v/>
      </c>
    </row>
    <row r="142" spans="3:15" x14ac:dyDescent="0.25">
      <c r="C142" s="17"/>
      <c r="D142" s="9"/>
      <c r="I142" s="17"/>
      <c r="L142" s="33" t="str">
        <f t="shared" si="8"/>
        <v/>
      </c>
      <c r="M142" s="17" t="str">
        <f t="shared" si="9"/>
        <v/>
      </c>
      <c r="N142" s="17" t="str">
        <f t="shared" si="10"/>
        <v/>
      </c>
      <c r="O142" s="17" t="str">
        <f t="shared" si="11"/>
        <v/>
      </c>
    </row>
    <row r="143" spans="3:15" x14ac:dyDescent="0.25">
      <c r="C143" s="17"/>
      <c r="D143" s="9"/>
      <c r="I143" s="17"/>
      <c r="L143" s="33" t="str">
        <f t="shared" si="8"/>
        <v/>
      </c>
      <c r="M143" s="17" t="str">
        <f t="shared" si="9"/>
        <v/>
      </c>
      <c r="N143" s="17" t="str">
        <f t="shared" si="10"/>
        <v/>
      </c>
      <c r="O143" s="17" t="str">
        <f t="shared" si="11"/>
        <v/>
      </c>
    </row>
    <row r="144" spans="3:15" x14ac:dyDescent="0.25">
      <c r="C144" s="17"/>
      <c r="D144" s="9"/>
      <c r="I144" s="17"/>
      <c r="L144" s="33" t="str">
        <f t="shared" si="8"/>
        <v/>
      </c>
      <c r="M144" s="17" t="str">
        <f t="shared" si="9"/>
        <v/>
      </c>
      <c r="N144" s="17" t="str">
        <f t="shared" si="10"/>
        <v/>
      </c>
      <c r="O144" s="17" t="str">
        <f t="shared" si="11"/>
        <v/>
      </c>
    </row>
    <row r="145" spans="3:16" x14ac:dyDescent="0.25">
      <c r="C145" s="17"/>
      <c r="D145" s="9"/>
      <c r="I145" s="17"/>
      <c r="L145" s="33" t="str">
        <f t="shared" si="8"/>
        <v/>
      </c>
      <c r="M145" s="17" t="str">
        <f t="shared" si="9"/>
        <v/>
      </c>
      <c r="N145" s="17" t="str">
        <f t="shared" si="10"/>
        <v/>
      </c>
      <c r="O145" s="17" t="str">
        <f t="shared" si="11"/>
        <v/>
      </c>
    </row>
    <row r="146" spans="3:16" x14ac:dyDescent="0.25">
      <c r="C146" s="17"/>
      <c r="D146" s="9"/>
      <c r="I146" s="17"/>
      <c r="L146" s="33" t="str">
        <f t="shared" si="8"/>
        <v/>
      </c>
      <c r="M146" s="17" t="str">
        <f t="shared" si="9"/>
        <v/>
      </c>
      <c r="N146" s="17" t="str">
        <f t="shared" si="10"/>
        <v/>
      </c>
      <c r="O146" s="17" t="str">
        <f t="shared" si="11"/>
        <v/>
      </c>
    </row>
    <row r="147" spans="3:16" x14ac:dyDescent="0.25">
      <c r="C147" s="17"/>
      <c r="D147" s="9"/>
      <c r="I147" s="17"/>
      <c r="L147" s="33" t="str">
        <f t="shared" si="8"/>
        <v/>
      </c>
      <c r="M147" s="17" t="str">
        <f t="shared" si="9"/>
        <v/>
      </c>
      <c r="N147" s="17" t="str">
        <f t="shared" si="10"/>
        <v/>
      </c>
      <c r="O147" s="17" t="str">
        <f t="shared" si="11"/>
        <v/>
      </c>
    </row>
    <row r="148" spans="3:16" x14ac:dyDescent="0.25">
      <c r="C148" s="17"/>
      <c r="D148" s="9"/>
      <c r="I148" s="17"/>
      <c r="L148" s="33" t="str">
        <f t="shared" si="8"/>
        <v/>
      </c>
      <c r="M148" s="17" t="str">
        <f t="shared" si="9"/>
        <v/>
      </c>
      <c r="N148" s="17" t="str">
        <f t="shared" si="10"/>
        <v/>
      </c>
      <c r="O148" s="17" t="str">
        <f t="shared" si="11"/>
        <v/>
      </c>
    </row>
    <row r="149" spans="3:16" x14ac:dyDescent="0.25">
      <c r="C149" s="17"/>
      <c r="D149" s="9"/>
      <c r="I149" s="17"/>
      <c r="L149" s="33" t="str">
        <f t="shared" si="8"/>
        <v/>
      </c>
      <c r="M149" s="17" t="str">
        <f t="shared" si="9"/>
        <v/>
      </c>
      <c r="N149" s="17" t="str">
        <f t="shared" si="10"/>
        <v/>
      </c>
      <c r="O149" s="17" t="str">
        <f t="shared" si="11"/>
        <v/>
      </c>
    </row>
    <row r="150" spans="3:16" x14ac:dyDescent="0.25">
      <c r="C150" s="17"/>
      <c r="D150" s="9"/>
      <c r="I150" s="17"/>
      <c r="L150" s="33" t="str">
        <f t="shared" si="8"/>
        <v/>
      </c>
      <c r="M150" s="17" t="str">
        <f t="shared" si="9"/>
        <v/>
      </c>
      <c r="N150" s="17" t="str">
        <f t="shared" si="10"/>
        <v/>
      </c>
      <c r="O150" s="17" t="str">
        <f t="shared" si="11"/>
        <v/>
      </c>
    </row>
    <row r="151" spans="3:16" x14ac:dyDescent="0.25">
      <c r="C151" s="17"/>
      <c r="D151" s="9"/>
      <c r="I151" s="17"/>
      <c r="L151" s="33" t="str">
        <f t="shared" si="8"/>
        <v/>
      </c>
      <c r="M151" s="17" t="str">
        <f t="shared" si="9"/>
        <v/>
      </c>
      <c r="N151" s="17" t="str">
        <f t="shared" si="10"/>
        <v/>
      </c>
      <c r="O151" s="17" t="str">
        <f t="shared" si="11"/>
        <v/>
      </c>
    </row>
    <row r="152" spans="3:16" x14ac:dyDescent="0.25">
      <c r="C152" s="17"/>
      <c r="D152" s="9"/>
      <c r="I152" s="17"/>
      <c r="L152" s="33" t="str">
        <f t="shared" si="8"/>
        <v/>
      </c>
      <c r="M152" s="17" t="str">
        <f t="shared" si="9"/>
        <v/>
      </c>
      <c r="N152" s="17" t="str">
        <f t="shared" si="10"/>
        <v/>
      </c>
      <c r="O152" s="17" t="str">
        <f t="shared" si="11"/>
        <v/>
      </c>
    </row>
    <row r="153" spans="3:16" x14ac:dyDescent="0.25">
      <c r="C153" s="17"/>
      <c r="D153" s="9"/>
      <c r="I153" s="17"/>
      <c r="L153" s="33" t="str">
        <f t="shared" si="8"/>
        <v/>
      </c>
      <c r="M153" s="17" t="str">
        <f t="shared" si="9"/>
        <v/>
      </c>
      <c r="N153" s="17" t="str">
        <f t="shared" si="10"/>
        <v/>
      </c>
      <c r="O153" s="17" t="str">
        <f t="shared" si="11"/>
        <v/>
      </c>
    </row>
    <row r="154" spans="3:16" x14ac:dyDescent="0.25">
      <c r="C154" s="17"/>
      <c r="D154" s="9"/>
      <c r="I154" s="17"/>
      <c r="L154" s="33" t="str">
        <f t="shared" si="8"/>
        <v/>
      </c>
      <c r="M154" s="17" t="str">
        <f t="shared" si="9"/>
        <v/>
      </c>
      <c r="N154" s="17" t="str">
        <f t="shared" si="10"/>
        <v/>
      </c>
      <c r="O154" s="17" t="str">
        <f t="shared" si="11"/>
        <v/>
      </c>
    </row>
    <row r="155" spans="3:16" x14ac:dyDescent="0.25">
      <c r="C155" s="17"/>
      <c r="D155" s="17"/>
      <c r="E155" s="17"/>
      <c r="F155" s="17"/>
      <c r="G155" s="17"/>
      <c r="H155" s="17"/>
      <c r="I155" s="17"/>
      <c r="J155" s="17"/>
      <c r="K155" s="29"/>
      <c r="L155" s="17" t="str">
        <f t="shared" ref="L155:L218" si="12">IF(J155="", "", L154+J155)</f>
        <v/>
      </c>
      <c r="M155" s="17" t="str">
        <f t="shared" si="9"/>
        <v/>
      </c>
      <c r="N155" s="17" t="str">
        <f t="shared" ref="N155:N218" si="13">IF(J155="", "", IF(E155="Sell",K155, 0))</f>
        <v/>
      </c>
      <c r="O155" s="17" t="str">
        <f t="shared" ref="O155:O218" si="14">IF(J155="", "", IF(E155="Sell", N155+J155*M155, 0))</f>
        <v/>
      </c>
      <c r="P155" s="17"/>
    </row>
    <row r="156" spans="3:16" x14ac:dyDescent="0.25">
      <c r="L156" t="str">
        <f t="shared" si="12"/>
        <v/>
      </c>
      <c r="M156" t="str">
        <f t="shared" si="9"/>
        <v/>
      </c>
      <c r="N156" t="str">
        <f t="shared" si="13"/>
        <v/>
      </c>
      <c r="O156" t="str">
        <f t="shared" si="14"/>
        <v/>
      </c>
    </row>
    <row r="157" spans="3:16" x14ac:dyDescent="0.25">
      <c r="L157" t="str">
        <f t="shared" si="12"/>
        <v/>
      </c>
      <c r="M157" t="str">
        <f t="shared" si="9"/>
        <v/>
      </c>
      <c r="N157" t="str">
        <f t="shared" si="13"/>
        <v/>
      </c>
      <c r="O157" t="str">
        <f t="shared" si="14"/>
        <v/>
      </c>
    </row>
    <row r="158" spans="3:16" x14ac:dyDescent="0.25">
      <c r="L158" t="str">
        <f t="shared" si="12"/>
        <v/>
      </c>
      <c r="M158" t="str">
        <f t="shared" si="9"/>
        <v/>
      </c>
      <c r="N158" t="str">
        <f t="shared" si="13"/>
        <v/>
      </c>
      <c r="O158" t="str">
        <f t="shared" si="14"/>
        <v/>
      </c>
    </row>
    <row r="159" spans="3:16" x14ac:dyDescent="0.25">
      <c r="L159" t="str">
        <f t="shared" si="12"/>
        <v/>
      </c>
      <c r="M159" t="str">
        <f t="shared" si="9"/>
        <v/>
      </c>
      <c r="N159" t="str">
        <f t="shared" si="13"/>
        <v/>
      </c>
      <c r="O159" t="str">
        <f t="shared" si="14"/>
        <v/>
      </c>
    </row>
    <row r="160" spans="3:16" x14ac:dyDescent="0.25">
      <c r="L160" t="str">
        <f t="shared" si="12"/>
        <v/>
      </c>
      <c r="M160" t="str">
        <f t="shared" si="9"/>
        <v/>
      </c>
      <c r="N160" t="str">
        <f t="shared" si="13"/>
        <v/>
      </c>
      <c r="O160" t="str">
        <f t="shared" si="14"/>
        <v/>
      </c>
    </row>
    <row r="161" spans="12:15" x14ac:dyDescent="0.25">
      <c r="L161" t="str">
        <f t="shared" si="12"/>
        <v/>
      </c>
      <c r="M161" t="str">
        <f t="shared" si="9"/>
        <v/>
      </c>
      <c r="N161" t="str">
        <f t="shared" si="13"/>
        <v/>
      </c>
      <c r="O161" t="str">
        <f t="shared" si="14"/>
        <v/>
      </c>
    </row>
    <row r="162" spans="12:15" x14ac:dyDescent="0.25">
      <c r="L162" t="str">
        <f t="shared" si="12"/>
        <v/>
      </c>
      <c r="M162" t="str">
        <f t="shared" si="9"/>
        <v/>
      </c>
      <c r="N162" t="str">
        <f t="shared" si="13"/>
        <v/>
      </c>
      <c r="O162" t="str">
        <f t="shared" si="14"/>
        <v/>
      </c>
    </row>
    <row r="163" spans="12:15" x14ac:dyDescent="0.25">
      <c r="L163" t="str">
        <f t="shared" si="12"/>
        <v/>
      </c>
      <c r="M163" t="str">
        <f t="shared" si="9"/>
        <v/>
      </c>
      <c r="N163" t="str">
        <f t="shared" si="13"/>
        <v/>
      </c>
      <c r="O163" t="str">
        <f t="shared" si="14"/>
        <v/>
      </c>
    </row>
    <row r="164" spans="12:15" x14ac:dyDescent="0.25">
      <c r="L164" t="str">
        <f t="shared" si="12"/>
        <v/>
      </c>
      <c r="M164" t="str">
        <f t="shared" si="9"/>
        <v/>
      </c>
      <c r="N164" t="str">
        <f t="shared" si="13"/>
        <v/>
      </c>
      <c r="O164" t="str">
        <f t="shared" si="14"/>
        <v/>
      </c>
    </row>
    <row r="165" spans="12:15" x14ac:dyDescent="0.25">
      <c r="L165" t="str">
        <f t="shared" si="12"/>
        <v/>
      </c>
      <c r="M165" t="str">
        <f t="shared" si="9"/>
        <v/>
      </c>
      <c r="N165" t="str">
        <f t="shared" si="13"/>
        <v/>
      </c>
      <c r="O165" t="str">
        <f t="shared" si="14"/>
        <v/>
      </c>
    </row>
    <row r="166" spans="12:15" x14ac:dyDescent="0.25">
      <c r="L166" t="str">
        <f t="shared" si="12"/>
        <v/>
      </c>
      <c r="M166" t="str">
        <f t="shared" si="9"/>
        <v/>
      </c>
      <c r="N166" t="str">
        <f t="shared" si="13"/>
        <v/>
      </c>
      <c r="O166" t="str">
        <f t="shared" si="14"/>
        <v/>
      </c>
    </row>
    <row r="167" spans="12:15" x14ac:dyDescent="0.25">
      <c r="L167" t="str">
        <f t="shared" si="12"/>
        <v/>
      </c>
      <c r="M167" t="str">
        <f t="shared" si="9"/>
        <v/>
      </c>
      <c r="N167" t="str">
        <f t="shared" si="13"/>
        <v/>
      </c>
      <c r="O167" t="str">
        <f t="shared" si="14"/>
        <v/>
      </c>
    </row>
    <row r="168" spans="12:15" x14ac:dyDescent="0.25">
      <c r="L168" t="str">
        <f t="shared" si="12"/>
        <v/>
      </c>
      <c r="M168" t="str">
        <f t="shared" si="9"/>
        <v/>
      </c>
      <c r="N168" t="str">
        <f t="shared" si="13"/>
        <v/>
      </c>
      <c r="O168" t="str">
        <f t="shared" si="14"/>
        <v/>
      </c>
    </row>
    <row r="169" spans="12:15" x14ac:dyDescent="0.25">
      <c r="L169" t="str">
        <f t="shared" si="12"/>
        <v/>
      </c>
      <c r="M169" t="str">
        <f t="shared" si="9"/>
        <v/>
      </c>
      <c r="N169" t="str">
        <f t="shared" si="13"/>
        <v/>
      </c>
      <c r="O169" t="str">
        <f t="shared" si="14"/>
        <v/>
      </c>
    </row>
    <row r="170" spans="12:15" x14ac:dyDescent="0.25">
      <c r="L170" t="str">
        <f t="shared" si="12"/>
        <v/>
      </c>
      <c r="M170" t="str">
        <f t="shared" si="9"/>
        <v/>
      </c>
      <c r="N170" t="str">
        <f t="shared" si="13"/>
        <v/>
      </c>
      <c r="O170" t="str">
        <f t="shared" si="14"/>
        <v/>
      </c>
    </row>
    <row r="171" spans="12:15" x14ac:dyDescent="0.25">
      <c r="L171" t="str">
        <f t="shared" si="12"/>
        <v/>
      </c>
      <c r="M171" t="str">
        <f t="shared" si="9"/>
        <v/>
      </c>
      <c r="N171" t="str">
        <f t="shared" si="13"/>
        <v/>
      </c>
      <c r="O171" t="str">
        <f t="shared" si="14"/>
        <v/>
      </c>
    </row>
    <row r="172" spans="12:15" x14ac:dyDescent="0.25">
      <c r="L172" t="str">
        <f t="shared" si="12"/>
        <v/>
      </c>
      <c r="M172" t="str">
        <f t="shared" si="9"/>
        <v/>
      </c>
      <c r="N172" t="str">
        <f t="shared" si="13"/>
        <v/>
      </c>
      <c r="O172" t="str">
        <f t="shared" si="14"/>
        <v/>
      </c>
    </row>
    <row r="173" spans="12:15" x14ac:dyDescent="0.25">
      <c r="L173" t="str">
        <f t="shared" si="12"/>
        <v/>
      </c>
      <c r="M173" t="str">
        <f t="shared" si="9"/>
        <v/>
      </c>
      <c r="N173" t="str">
        <f t="shared" si="13"/>
        <v/>
      </c>
      <c r="O173" t="str">
        <f t="shared" si="14"/>
        <v/>
      </c>
    </row>
    <row r="174" spans="12:15" x14ac:dyDescent="0.25">
      <c r="L174" t="str">
        <f t="shared" si="12"/>
        <v/>
      </c>
      <c r="M174" t="str">
        <f t="shared" si="9"/>
        <v/>
      </c>
      <c r="N174" t="str">
        <f t="shared" si="13"/>
        <v/>
      </c>
      <c r="O174" t="str">
        <f t="shared" si="14"/>
        <v/>
      </c>
    </row>
    <row r="175" spans="12:15" x14ac:dyDescent="0.25">
      <c r="L175" t="str">
        <f t="shared" si="12"/>
        <v/>
      </c>
      <c r="M175" t="str">
        <f t="shared" si="9"/>
        <v/>
      </c>
      <c r="N175" t="str">
        <f t="shared" si="13"/>
        <v/>
      </c>
      <c r="O175" t="str">
        <f t="shared" si="14"/>
        <v/>
      </c>
    </row>
    <row r="176" spans="12:15" x14ac:dyDescent="0.25">
      <c r="L176" t="str">
        <f t="shared" si="12"/>
        <v/>
      </c>
      <c r="M176" t="str">
        <f t="shared" si="9"/>
        <v/>
      </c>
      <c r="N176" t="str">
        <f t="shared" si="13"/>
        <v/>
      </c>
      <c r="O176" t="str">
        <f t="shared" si="14"/>
        <v/>
      </c>
    </row>
    <row r="177" spans="12:15" x14ac:dyDescent="0.25">
      <c r="L177" t="str">
        <f t="shared" si="12"/>
        <v/>
      </c>
      <c r="M177" t="str">
        <f t="shared" si="9"/>
        <v/>
      </c>
      <c r="N177" t="str">
        <f t="shared" si="13"/>
        <v/>
      </c>
      <c r="O177" t="str">
        <f t="shared" si="14"/>
        <v/>
      </c>
    </row>
    <row r="178" spans="12:15" x14ac:dyDescent="0.25">
      <c r="L178" t="str">
        <f t="shared" si="12"/>
        <v/>
      </c>
      <c r="M178" t="str">
        <f t="shared" si="9"/>
        <v/>
      </c>
      <c r="N178" t="str">
        <f t="shared" si="13"/>
        <v/>
      </c>
      <c r="O178" t="str">
        <f t="shared" si="14"/>
        <v/>
      </c>
    </row>
    <row r="179" spans="12:15" x14ac:dyDescent="0.25">
      <c r="L179" t="str">
        <f t="shared" si="12"/>
        <v/>
      </c>
      <c r="M179" t="str">
        <f t="shared" si="9"/>
        <v/>
      </c>
      <c r="N179" t="str">
        <f t="shared" si="13"/>
        <v/>
      </c>
      <c r="O179" t="str">
        <f t="shared" si="14"/>
        <v/>
      </c>
    </row>
    <row r="180" spans="12:15" x14ac:dyDescent="0.25">
      <c r="L180" t="str">
        <f t="shared" si="12"/>
        <v/>
      </c>
      <c r="M180" t="str">
        <f t="shared" si="9"/>
        <v/>
      </c>
      <c r="N180" t="str">
        <f t="shared" si="13"/>
        <v/>
      </c>
      <c r="O180" t="str">
        <f t="shared" si="14"/>
        <v/>
      </c>
    </row>
    <row r="181" spans="12:15" x14ac:dyDescent="0.25">
      <c r="L181" t="str">
        <f t="shared" si="12"/>
        <v/>
      </c>
      <c r="M181" t="str">
        <f t="shared" si="9"/>
        <v/>
      </c>
      <c r="N181" t="str">
        <f t="shared" si="13"/>
        <v/>
      </c>
      <c r="O181" t="str">
        <f t="shared" si="14"/>
        <v/>
      </c>
    </row>
    <row r="182" spans="12:15" x14ac:dyDescent="0.25">
      <c r="L182" t="str">
        <f t="shared" si="12"/>
        <v/>
      </c>
      <c r="M182" t="str">
        <f t="shared" si="9"/>
        <v/>
      </c>
      <c r="N182" t="str">
        <f t="shared" si="13"/>
        <v/>
      </c>
      <c r="O182" t="str">
        <f t="shared" si="14"/>
        <v/>
      </c>
    </row>
    <row r="183" spans="12:15" x14ac:dyDescent="0.25">
      <c r="L183" t="str">
        <f t="shared" si="12"/>
        <v/>
      </c>
      <c r="M183" t="str">
        <f t="shared" si="9"/>
        <v/>
      </c>
      <c r="N183" t="str">
        <f t="shared" si="13"/>
        <v/>
      </c>
      <c r="O183" t="str">
        <f t="shared" si="14"/>
        <v/>
      </c>
    </row>
    <row r="184" spans="12:15" x14ac:dyDescent="0.25">
      <c r="L184" t="str">
        <f t="shared" si="12"/>
        <v/>
      </c>
      <c r="M184" t="str">
        <f t="shared" si="9"/>
        <v/>
      </c>
      <c r="N184" t="str">
        <f t="shared" si="13"/>
        <v/>
      </c>
      <c r="O184" t="str">
        <f t="shared" si="14"/>
        <v/>
      </c>
    </row>
    <row r="185" spans="12:15" x14ac:dyDescent="0.25">
      <c r="L185" t="str">
        <f t="shared" si="12"/>
        <v/>
      </c>
      <c r="M185" t="str">
        <f t="shared" si="9"/>
        <v/>
      </c>
      <c r="N185" t="str">
        <f t="shared" si="13"/>
        <v/>
      </c>
      <c r="O185" t="str">
        <f t="shared" si="14"/>
        <v/>
      </c>
    </row>
    <row r="186" spans="12:15" x14ac:dyDescent="0.25">
      <c r="L186" t="str">
        <f t="shared" si="12"/>
        <v/>
      </c>
      <c r="M186" t="str">
        <f t="shared" si="9"/>
        <v/>
      </c>
      <c r="N186" t="str">
        <f t="shared" si="13"/>
        <v/>
      </c>
      <c r="O186" t="str">
        <f t="shared" si="14"/>
        <v/>
      </c>
    </row>
    <row r="187" spans="12:15" x14ac:dyDescent="0.25">
      <c r="L187" t="str">
        <f t="shared" si="12"/>
        <v/>
      </c>
      <c r="M187" t="str">
        <f t="shared" si="9"/>
        <v/>
      </c>
      <c r="N187" t="str">
        <f t="shared" si="13"/>
        <v/>
      </c>
      <c r="O187" t="str">
        <f t="shared" si="14"/>
        <v/>
      </c>
    </row>
    <row r="188" spans="12:15" x14ac:dyDescent="0.25">
      <c r="L188" t="str">
        <f t="shared" si="12"/>
        <v/>
      </c>
      <c r="M188" t="str">
        <f t="shared" si="9"/>
        <v/>
      </c>
      <c r="N188" t="str">
        <f t="shared" si="13"/>
        <v/>
      </c>
      <c r="O188" t="str">
        <f t="shared" si="14"/>
        <v/>
      </c>
    </row>
    <row r="189" spans="12:15" x14ac:dyDescent="0.25">
      <c r="L189" t="str">
        <f t="shared" si="12"/>
        <v/>
      </c>
      <c r="M189" t="str">
        <f t="shared" si="9"/>
        <v/>
      </c>
      <c r="N189" t="str">
        <f t="shared" si="13"/>
        <v/>
      </c>
      <c r="O189" t="str">
        <f t="shared" si="14"/>
        <v/>
      </c>
    </row>
    <row r="190" spans="12:15" x14ac:dyDescent="0.25">
      <c r="L190" t="str">
        <f t="shared" si="12"/>
        <v/>
      </c>
      <c r="M190" t="str">
        <f t="shared" si="9"/>
        <v/>
      </c>
      <c r="N190" t="str">
        <f t="shared" si="13"/>
        <v/>
      </c>
      <c r="O190" t="str">
        <f t="shared" si="14"/>
        <v/>
      </c>
    </row>
    <row r="191" spans="12:15" x14ac:dyDescent="0.25">
      <c r="L191" t="str">
        <f t="shared" si="12"/>
        <v/>
      </c>
      <c r="M191" t="str">
        <f t="shared" si="9"/>
        <v/>
      </c>
      <c r="N191" t="str">
        <f t="shared" si="13"/>
        <v/>
      </c>
      <c r="O191" t="str">
        <f t="shared" si="14"/>
        <v/>
      </c>
    </row>
    <row r="192" spans="12:15" x14ac:dyDescent="0.25">
      <c r="L192" t="str">
        <f t="shared" si="12"/>
        <v/>
      </c>
      <c r="M192" t="str">
        <f t="shared" si="9"/>
        <v/>
      </c>
      <c r="N192" t="str">
        <f t="shared" si="13"/>
        <v/>
      </c>
      <c r="O192" t="str">
        <f t="shared" si="14"/>
        <v/>
      </c>
    </row>
    <row r="193" spans="12:15" x14ac:dyDescent="0.25">
      <c r="L193" t="str">
        <f t="shared" si="12"/>
        <v/>
      </c>
      <c r="M193" t="str">
        <f t="shared" si="9"/>
        <v/>
      </c>
      <c r="N193" t="str">
        <f t="shared" si="13"/>
        <v/>
      </c>
      <c r="O193" t="str">
        <f t="shared" si="14"/>
        <v/>
      </c>
    </row>
    <row r="194" spans="12:15" x14ac:dyDescent="0.25">
      <c r="L194" t="str">
        <f t="shared" si="12"/>
        <v/>
      </c>
      <c r="M194" t="str">
        <f t="shared" si="9"/>
        <v/>
      </c>
      <c r="N194" t="str">
        <f t="shared" si="13"/>
        <v/>
      </c>
      <c r="O194" t="str">
        <f t="shared" si="14"/>
        <v/>
      </c>
    </row>
    <row r="195" spans="12:15" x14ac:dyDescent="0.25">
      <c r="L195" t="str">
        <f t="shared" si="12"/>
        <v/>
      </c>
      <c r="M195" t="str">
        <f t="shared" si="9"/>
        <v/>
      </c>
      <c r="N195" t="str">
        <f t="shared" si="13"/>
        <v/>
      </c>
      <c r="O195" t="str">
        <f t="shared" si="14"/>
        <v/>
      </c>
    </row>
    <row r="196" spans="12:15" x14ac:dyDescent="0.25">
      <c r="L196" t="str">
        <f t="shared" si="12"/>
        <v/>
      </c>
      <c r="M196" t="str">
        <f t="shared" si="9"/>
        <v/>
      </c>
      <c r="N196" t="str">
        <f t="shared" si="13"/>
        <v/>
      </c>
      <c r="O196" t="str">
        <f t="shared" si="14"/>
        <v/>
      </c>
    </row>
    <row r="197" spans="12:15" x14ac:dyDescent="0.25">
      <c r="L197" t="str">
        <f t="shared" si="12"/>
        <v/>
      </c>
      <c r="M197" t="str">
        <f t="shared" si="9"/>
        <v/>
      </c>
      <c r="N197" t="str">
        <f t="shared" si="13"/>
        <v/>
      </c>
      <c r="O197" t="str">
        <f t="shared" si="14"/>
        <v/>
      </c>
    </row>
    <row r="198" spans="12:15" x14ac:dyDescent="0.25">
      <c r="L198" t="str">
        <f t="shared" si="12"/>
        <v/>
      </c>
      <c r="M198" t="str">
        <f t="shared" si="9"/>
        <v/>
      </c>
      <c r="N198" t="str">
        <f t="shared" si="13"/>
        <v/>
      </c>
      <c r="O198" t="str">
        <f t="shared" si="14"/>
        <v/>
      </c>
    </row>
    <row r="199" spans="12:15" x14ac:dyDescent="0.25">
      <c r="L199" t="str">
        <f t="shared" si="12"/>
        <v/>
      </c>
      <c r="M199" t="str">
        <f t="shared" ref="M199:M253" si="15">IF(J199="", "",IF(E199="Buy", (L198*M198+(-K199))/L199, M198))</f>
        <v/>
      </c>
      <c r="N199" t="str">
        <f t="shared" si="13"/>
        <v/>
      </c>
      <c r="O199" t="str">
        <f t="shared" si="14"/>
        <v/>
      </c>
    </row>
    <row r="200" spans="12:15" x14ac:dyDescent="0.25">
      <c r="L200" t="str">
        <f t="shared" si="12"/>
        <v/>
      </c>
      <c r="M200" t="str">
        <f t="shared" si="15"/>
        <v/>
      </c>
      <c r="N200" t="str">
        <f t="shared" si="13"/>
        <v/>
      </c>
      <c r="O200" t="str">
        <f t="shared" si="14"/>
        <v/>
      </c>
    </row>
    <row r="201" spans="12:15" x14ac:dyDescent="0.25">
      <c r="L201" t="str">
        <f t="shared" si="12"/>
        <v/>
      </c>
      <c r="M201" t="str">
        <f t="shared" si="15"/>
        <v/>
      </c>
      <c r="N201" t="str">
        <f t="shared" si="13"/>
        <v/>
      </c>
      <c r="O201" t="str">
        <f t="shared" si="14"/>
        <v/>
      </c>
    </row>
    <row r="202" spans="12:15" x14ac:dyDescent="0.25">
      <c r="L202" t="str">
        <f t="shared" si="12"/>
        <v/>
      </c>
      <c r="M202" t="str">
        <f t="shared" si="15"/>
        <v/>
      </c>
      <c r="N202" t="str">
        <f t="shared" si="13"/>
        <v/>
      </c>
      <c r="O202" t="str">
        <f t="shared" si="14"/>
        <v/>
      </c>
    </row>
    <row r="203" spans="12:15" x14ac:dyDescent="0.25">
      <c r="L203" t="str">
        <f t="shared" si="12"/>
        <v/>
      </c>
      <c r="M203" t="str">
        <f t="shared" si="15"/>
        <v/>
      </c>
      <c r="N203" t="str">
        <f t="shared" si="13"/>
        <v/>
      </c>
      <c r="O203" t="str">
        <f t="shared" si="14"/>
        <v/>
      </c>
    </row>
    <row r="204" spans="12:15" x14ac:dyDescent="0.25">
      <c r="L204" t="str">
        <f t="shared" si="12"/>
        <v/>
      </c>
      <c r="M204" t="str">
        <f t="shared" si="15"/>
        <v/>
      </c>
      <c r="N204" t="str">
        <f t="shared" si="13"/>
        <v/>
      </c>
      <c r="O204" t="str">
        <f t="shared" si="14"/>
        <v/>
      </c>
    </row>
    <row r="205" spans="12:15" x14ac:dyDescent="0.25">
      <c r="L205" t="str">
        <f t="shared" si="12"/>
        <v/>
      </c>
      <c r="M205" t="str">
        <f t="shared" si="15"/>
        <v/>
      </c>
      <c r="N205" t="str">
        <f t="shared" si="13"/>
        <v/>
      </c>
      <c r="O205" t="str">
        <f t="shared" si="14"/>
        <v/>
      </c>
    </row>
    <row r="206" spans="12:15" x14ac:dyDescent="0.25">
      <c r="L206" t="str">
        <f t="shared" si="12"/>
        <v/>
      </c>
      <c r="M206" t="str">
        <f t="shared" si="15"/>
        <v/>
      </c>
      <c r="N206" t="str">
        <f t="shared" si="13"/>
        <v/>
      </c>
      <c r="O206" t="str">
        <f t="shared" si="14"/>
        <v/>
      </c>
    </row>
    <row r="207" spans="12:15" x14ac:dyDescent="0.25">
      <c r="L207" t="str">
        <f t="shared" si="12"/>
        <v/>
      </c>
      <c r="M207" t="str">
        <f t="shared" si="15"/>
        <v/>
      </c>
      <c r="N207" t="str">
        <f t="shared" si="13"/>
        <v/>
      </c>
      <c r="O207" t="str">
        <f t="shared" si="14"/>
        <v/>
      </c>
    </row>
    <row r="208" spans="12:15" x14ac:dyDescent="0.25">
      <c r="L208" t="str">
        <f t="shared" si="12"/>
        <v/>
      </c>
      <c r="M208" t="str">
        <f t="shared" si="15"/>
        <v/>
      </c>
      <c r="N208" t="str">
        <f t="shared" si="13"/>
        <v/>
      </c>
      <c r="O208" t="str">
        <f t="shared" si="14"/>
        <v/>
      </c>
    </row>
    <row r="209" spans="12:15" x14ac:dyDescent="0.25">
      <c r="L209" t="str">
        <f t="shared" si="12"/>
        <v/>
      </c>
      <c r="M209" t="str">
        <f t="shared" si="15"/>
        <v/>
      </c>
      <c r="N209" t="str">
        <f t="shared" si="13"/>
        <v/>
      </c>
      <c r="O209" t="str">
        <f t="shared" si="14"/>
        <v/>
      </c>
    </row>
    <row r="210" spans="12:15" x14ac:dyDescent="0.25">
      <c r="L210" t="str">
        <f t="shared" si="12"/>
        <v/>
      </c>
      <c r="M210" t="str">
        <f t="shared" si="15"/>
        <v/>
      </c>
      <c r="N210" t="str">
        <f t="shared" si="13"/>
        <v/>
      </c>
      <c r="O210" t="str">
        <f t="shared" si="14"/>
        <v/>
      </c>
    </row>
    <row r="211" spans="12:15" x14ac:dyDescent="0.25">
      <c r="L211" t="str">
        <f t="shared" si="12"/>
        <v/>
      </c>
      <c r="M211" t="str">
        <f t="shared" si="15"/>
        <v/>
      </c>
      <c r="N211" t="str">
        <f t="shared" si="13"/>
        <v/>
      </c>
      <c r="O211" t="str">
        <f t="shared" si="14"/>
        <v/>
      </c>
    </row>
    <row r="212" spans="12:15" x14ac:dyDescent="0.25">
      <c r="L212" t="str">
        <f t="shared" si="12"/>
        <v/>
      </c>
      <c r="M212" t="str">
        <f t="shared" si="15"/>
        <v/>
      </c>
      <c r="N212" t="str">
        <f t="shared" si="13"/>
        <v/>
      </c>
      <c r="O212" t="str">
        <f t="shared" si="14"/>
        <v/>
      </c>
    </row>
    <row r="213" spans="12:15" x14ac:dyDescent="0.25">
      <c r="L213" t="str">
        <f t="shared" si="12"/>
        <v/>
      </c>
      <c r="M213" t="str">
        <f t="shared" si="15"/>
        <v/>
      </c>
      <c r="N213" t="str">
        <f t="shared" si="13"/>
        <v/>
      </c>
      <c r="O213" t="str">
        <f t="shared" si="14"/>
        <v/>
      </c>
    </row>
    <row r="214" spans="12:15" x14ac:dyDescent="0.25">
      <c r="L214" t="str">
        <f t="shared" si="12"/>
        <v/>
      </c>
      <c r="M214" t="str">
        <f t="shared" si="15"/>
        <v/>
      </c>
      <c r="N214" t="str">
        <f t="shared" si="13"/>
        <v/>
      </c>
      <c r="O214" t="str">
        <f t="shared" si="14"/>
        <v/>
      </c>
    </row>
    <row r="215" spans="12:15" x14ac:dyDescent="0.25">
      <c r="L215" t="str">
        <f t="shared" si="12"/>
        <v/>
      </c>
      <c r="M215" t="str">
        <f t="shared" si="15"/>
        <v/>
      </c>
      <c r="N215" t="str">
        <f t="shared" si="13"/>
        <v/>
      </c>
      <c r="O215" t="str">
        <f t="shared" si="14"/>
        <v/>
      </c>
    </row>
    <row r="216" spans="12:15" x14ac:dyDescent="0.25">
      <c r="L216" t="str">
        <f t="shared" si="12"/>
        <v/>
      </c>
      <c r="M216" t="str">
        <f t="shared" si="15"/>
        <v/>
      </c>
      <c r="N216" t="str">
        <f t="shared" si="13"/>
        <v/>
      </c>
      <c r="O216" t="str">
        <f t="shared" si="14"/>
        <v/>
      </c>
    </row>
    <row r="217" spans="12:15" x14ac:dyDescent="0.25">
      <c r="L217" t="str">
        <f t="shared" si="12"/>
        <v/>
      </c>
      <c r="M217" t="str">
        <f t="shared" si="15"/>
        <v/>
      </c>
      <c r="N217" t="str">
        <f t="shared" si="13"/>
        <v/>
      </c>
      <c r="O217" t="str">
        <f t="shared" si="14"/>
        <v/>
      </c>
    </row>
    <row r="218" spans="12:15" x14ac:dyDescent="0.25">
      <c r="L218" t="str">
        <f t="shared" si="12"/>
        <v/>
      </c>
      <c r="M218" t="str">
        <f t="shared" si="15"/>
        <v/>
      </c>
      <c r="N218" t="str">
        <f t="shared" si="13"/>
        <v/>
      </c>
      <c r="O218" t="str">
        <f t="shared" si="14"/>
        <v/>
      </c>
    </row>
    <row r="219" spans="12:15" x14ac:dyDescent="0.25">
      <c r="L219" t="str">
        <f t="shared" ref="L219:L253" si="16">IF(J219="", "", L218+J219)</f>
        <v/>
      </c>
      <c r="M219" t="str">
        <f t="shared" si="15"/>
        <v/>
      </c>
      <c r="N219" t="str">
        <f t="shared" ref="N219:N253" si="17">IF(J219="", "", IF(E219="Sell",K219, 0))</f>
        <v/>
      </c>
      <c r="O219" t="str">
        <f t="shared" ref="O219:O253" si="18">IF(J219="", "", IF(E219="Sell", N219+J219*M219, 0))</f>
        <v/>
      </c>
    </row>
    <row r="220" spans="12:15" x14ac:dyDescent="0.25">
      <c r="L220" t="str">
        <f t="shared" si="16"/>
        <v/>
      </c>
      <c r="M220" t="str">
        <f t="shared" si="15"/>
        <v/>
      </c>
      <c r="N220" t="str">
        <f t="shared" si="17"/>
        <v/>
      </c>
      <c r="O220" t="str">
        <f t="shared" si="18"/>
        <v/>
      </c>
    </row>
    <row r="221" spans="12:15" x14ac:dyDescent="0.25">
      <c r="L221" t="str">
        <f t="shared" si="16"/>
        <v/>
      </c>
      <c r="M221" t="str">
        <f t="shared" si="15"/>
        <v/>
      </c>
      <c r="N221" t="str">
        <f t="shared" si="17"/>
        <v/>
      </c>
      <c r="O221" t="str">
        <f t="shared" si="18"/>
        <v/>
      </c>
    </row>
    <row r="222" spans="12:15" x14ac:dyDescent="0.25">
      <c r="L222" t="str">
        <f t="shared" si="16"/>
        <v/>
      </c>
      <c r="M222" t="str">
        <f t="shared" si="15"/>
        <v/>
      </c>
      <c r="N222" t="str">
        <f t="shared" si="17"/>
        <v/>
      </c>
      <c r="O222" t="str">
        <f t="shared" si="18"/>
        <v/>
      </c>
    </row>
    <row r="223" spans="12:15" x14ac:dyDescent="0.25">
      <c r="L223" t="str">
        <f t="shared" si="16"/>
        <v/>
      </c>
      <c r="M223" t="str">
        <f t="shared" si="15"/>
        <v/>
      </c>
      <c r="N223" t="str">
        <f t="shared" si="17"/>
        <v/>
      </c>
      <c r="O223" t="str">
        <f t="shared" si="18"/>
        <v/>
      </c>
    </row>
    <row r="224" spans="12:15" x14ac:dyDescent="0.25">
      <c r="L224" t="str">
        <f t="shared" si="16"/>
        <v/>
      </c>
      <c r="M224" t="str">
        <f t="shared" si="15"/>
        <v/>
      </c>
      <c r="N224" t="str">
        <f t="shared" si="17"/>
        <v/>
      </c>
      <c r="O224" t="str">
        <f t="shared" si="18"/>
        <v/>
      </c>
    </row>
    <row r="225" spans="12:15" x14ac:dyDescent="0.25">
      <c r="L225" t="str">
        <f t="shared" si="16"/>
        <v/>
      </c>
      <c r="M225" t="str">
        <f t="shared" si="15"/>
        <v/>
      </c>
      <c r="N225" t="str">
        <f t="shared" si="17"/>
        <v/>
      </c>
      <c r="O225" t="str">
        <f t="shared" si="18"/>
        <v/>
      </c>
    </row>
    <row r="226" spans="12:15" x14ac:dyDescent="0.25">
      <c r="L226" t="str">
        <f t="shared" si="16"/>
        <v/>
      </c>
      <c r="M226" t="str">
        <f t="shared" si="15"/>
        <v/>
      </c>
      <c r="N226" t="str">
        <f t="shared" si="17"/>
        <v/>
      </c>
      <c r="O226" t="str">
        <f t="shared" si="18"/>
        <v/>
      </c>
    </row>
    <row r="227" spans="12:15" x14ac:dyDescent="0.25">
      <c r="L227" t="str">
        <f t="shared" si="16"/>
        <v/>
      </c>
      <c r="M227" t="str">
        <f t="shared" si="15"/>
        <v/>
      </c>
      <c r="N227" t="str">
        <f t="shared" si="17"/>
        <v/>
      </c>
      <c r="O227" t="str">
        <f t="shared" si="18"/>
        <v/>
      </c>
    </row>
    <row r="228" spans="12:15" x14ac:dyDescent="0.25">
      <c r="L228" t="str">
        <f t="shared" si="16"/>
        <v/>
      </c>
      <c r="M228" t="str">
        <f t="shared" si="15"/>
        <v/>
      </c>
      <c r="N228" t="str">
        <f t="shared" si="17"/>
        <v/>
      </c>
      <c r="O228" t="str">
        <f t="shared" si="18"/>
        <v/>
      </c>
    </row>
    <row r="229" spans="12:15" x14ac:dyDescent="0.25">
      <c r="L229" t="str">
        <f t="shared" si="16"/>
        <v/>
      </c>
      <c r="M229" t="str">
        <f t="shared" si="15"/>
        <v/>
      </c>
      <c r="N229" t="str">
        <f t="shared" si="17"/>
        <v/>
      </c>
      <c r="O229" t="str">
        <f t="shared" si="18"/>
        <v/>
      </c>
    </row>
    <row r="230" spans="12:15" x14ac:dyDescent="0.25">
      <c r="L230" t="str">
        <f t="shared" si="16"/>
        <v/>
      </c>
      <c r="M230" t="str">
        <f t="shared" si="15"/>
        <v/>
      </c>
      <c r="N230" t="str">
        <f t="shared" si="17"/>
        <v/>
      </c>
      <c r="O230" t="str">
        <f t="shared" si="18"/>
        <v/>
      </c>
    </row>
    <row r="231" spans="12:15" x14ac:dyDescent="0.25">
      <c r="L231" t="str">
        <f t="shared" si="16"/>
        <v/>
      </c>
      <c r="M231" t="str">
        <f t="shared" si="15"/>
        <v/>
      </c>
      <c r="N231" t="str">
        <f t="shared" si="17"/>
        <v/>
      </c>
      <c r="O231" t="str">
        <f t="shared" si="18"/>
        <v/>
      </c>
    </row>
    <row r="232" spans="12:15" x14ac:dyDescent="0.25">
      <c r="L232" t="str">
        <f t="shared" si="16"/>
        <v/>
      </c>
      <c r="M232" t="str">
        <f t="shared" si="15"/>
        <v/>
      </c>
      <c r="N232" t="str">
        <f t="shared" si="17"/>
        <v/>
      </c>
      <c r="O232" t="str">
        <f t="shared" si="18"/>
        <v/>
      </c>
    </row>
    <row r="233" spans="12:15" x14ac:dyDescent="0.25">
      <c r="L233" t="str">
        <f t="shared" si="16"/>
        <v/>
      </c>
      <c r="M233" t="str">
        <f t="shared" si="15"/>
        <v/>
      </c>
      <c r="N233" t="str">
        <f t="shared" si="17"/>
        <v/>
      </c>
      <c r="O233" t="str">
        <f t="shared" si="18"/>
        <v/>
      </c>
    </row>
    <row r="234" spans="12:15" x14ac:dyDescent="0.25">
      <c r="L234" t="str">
        <f t="shared" si="16"/>
        <v/>
      </c>
      <c r="M234" t="str">
        <f t="shared" si="15"/>
        <v/>
      </c>
      <c r="N234" t="str">
        <f t="shared" si="17"/>
        <v/>
      </c>
      <c r="O234" t="str">
        <f t="shared" si="18"/>
        <v/>
      </c>
    </row>
    <row r="235" spans="12:15" x14ac:dyDescent="0.25">
      <c r="L235" t="str">
        <f t="shared" si="16"/>
        <v/>
      </c>
      <c r="M235" t="str">
        <f t="shared" si="15"/>
        <v/>
      </c>
      <c r="N235" t="str">
        <f t="shared" si="17"/>
        <v/>
      </c>
      <c r="O235" t="str">
        <f t="shared" si="18"/>
        <v/>
      </c>
    </row>
    <row r="236" spans="12:15" x14ac:dyDescent="0.25">
      <c r="L236" t="str">
        <f t="shared" si="16"/>
        <v/>
      </c>
      <c r="M236" t="str">
        <f t="shared" si="15"/>
        <v/>
      </c>
      <c r="N236" t="str">
        <f t="shared" si="17"/>
        <v/>
      </c>
      <c r="O236" t="str">
        <f t="shared" si="18"/>
        <v/>
      </c>
    </row>
    <row r="237" spans="12:15" x14ac:dyDescent="0.25">
      <c r="L237" t="str">
        <f t="shared" si="16"/>
        <v/>
      </c>
      <c r="M237" t="str">
        <f t="shared" si="15"/>
        <v/>
      </c>
      <c r="N237" t="str">
        <f t="shared" si="17"/>
        <v/>
      </c>
      <c r="O237" t="str">
        <f t="shared" si="18"/>
        <v/>
      </c>
    </row>
    <row r="238" spans="12:15" x14ac:dyDescent="0.25">
      <c r="L238" t="str">
        <f t="shared" si="16"/>
        <v/>
      </c>
      <c r="M238" t="str">
        <f t="shared" si="15"/>
        <v/>
      </c>
      <c r="N238" t="str">
        <f t="shared" si="17"/>
        <v/>
      </c>
      <c r="O238" t="str">
        <f t="shared" si="18"/>
        <v/>
      </c>
    </row>
    <row r="239" spans="12:15" x14ac:dyDescent="0.25">
      <c r="L239" t="str">
        <f t="shared" si="16"/>
        <v/>
      </c>
      <c r="M239" t="str">
        <f t="shared" si="15"/>
        <v/>
      </c>
      <c r="N239" t="str">
        <f t="shared" si="17"/>
        <v/>
      </c>
      <c r="O239" t="str">
        <f t="shared" si="18"/>
        <v/>
      </c>
    </row>
    <row r="240" spans="12:15" x14ac:dyDescent="0.25">
      <c r="L240" t="str">
        <f t="shared" si="16"/>
        <v/>
      </c>
      <c r="M240" t="str">
        <f t="shared" si="15"/>
        <v/>
      </c>
      <c r="N240" t="str">
        <f t="shared" si="17"/>
        <v/>
      </c>
      <c r="O240" t="str">
        <f t="shared" si="18"/>
        <v/>
      </c>
    </row>
    <row r="241" spans="12:15" x14ac:dyDescent="0.25">
      <c r="L241" t="str">
        <f t="shared" si="16"/>
        <v/>
      </c>
      <c r="M241" t="str">
        <f t="shared" si="15"/>
        <v/>
      </c>
      <c r="N241" t="str">
        <f t="shared" si="17"/>
        <v/>
      </c>
      <c r="O241" t="str">
        <f t="shared" si="18"/>
        <v/>
      </c>
    </row>
    <row r="242" spans="12:15" x14ac:dyDescent="0.25">
      <c r="L242" t="str">
        <f t="shared" si="16"/>
        <v/>
      </c>
      <c r="M242" t="str">
        <f t="shared" si="15"/>
        <v/>
      </c>
      <c r="N242" t="str">
        <f t="shared" si="17"/>
        <v/>
      </c>
      <c r="O242" t="str">
        <f t="shared" si="18"/>
        <v/>
      </c>
    </row>
    <row r="243" spans="12:15" x14ac:dyDescent="0.25">
      <c r="L243" t="str">
        <f t="shared" si="16"/>
        <v/>
      </c>
      <c r="M243" t="str">
        <f t="shared" si="15"/>
        <v/>
      </c>
      <c r="N243" t="str">
        <f t="shared" si="17"/>
        <v/>
      </c>
      <c r="O243" t="str">
        <f t="shared" si="18"/>
        <v/>
      </c>
    </row>
    <row r="244" spans="12:15" x14ac:dyDescent="0.25">
      <c r="L244" t="str">
        <f t="shared" si="16"/>
        <v/>
      </c>
      <c r="M244" t="str">
        <f t="shared" si="15"/>
        <v/>
      </c>
      <c r="N244" t="str">
        <f t="shared" si="17"/>
        <v/>
      </c>
      <c r="O244" t="str">
        <f t="shared" si="18"/>
        <v/>
      </c>
    </row>
    <row r="245" spans="12:15" x14ac:dyDescent="0.25">
      <c r="L245" t="str">
        <f t="shared" si="16"/>
        <v/>
      </c>
      <c r="M245" t="str">
        <f t="shared" si="15"/>
        <v/>
      </c>
      <c r="N245" t="str">
        <f t="shared" si="17"/>
        <v/>
      </c>
      <c r="O245" t="str">
        <f t="shared" si="18"/>
        <v/>
      </c>
    </row>
    <row r="246" spans="12:15" x14ac:dyDescent="0.25">
      <c r="L246" t="str">
        <f t="shared" si="16"/>
        <v/>
      </c>
      <c r="M246" t="str">
        <f t="shared" si="15"/>
        <v/>
      </c>
      <c r="N246" t="str">
        <f t="shared" si="17"/>
        <v/>
      </c>
      <c r="O246" t="str">
        <f t="shared" si="18"/>
        <v/>
      </c>
    </row>
    <row r="247" spans="12:15" x14ac:dyDescent="0.25">
      <c r="L247" t="str">
        <f t="shared" si="16"/>
        <v/>
      </c>
      <c r="M247" t="str">
        <f t="shared" si="15"/>
        <v/>
      </c>
      <c r="N247" t="str">
        <f t="shared" si="17"/>
        <v/>
      </c>
      <c r="O247" t="str">
        <f t="shared" si="18"/>
        <v/>
      </c>
    </row>
    <row r="248" spans="12:15" x14ac:dyDescent="0.25">
      <c r="L248" t="str">
        <f t="shared" si="16"/>
        <v/>
      </c>
      <c r="M248" t="str">
        <f t="shared" si="15"/>
        <v/>
      </c>
      <c r="N248" t="str">
        <f t="shared" si="17"/>
        <v/>
      </c>
      <c r="O248" t="str">
        <f t="shared" si="18"/>
        <v/>
      </c>
    </row>
    <row r="249" spans="12:15" x14ac:dyDescent="0.25">
      <c r="L249" t="str">
        <f t="shared" si="16"/>
        <v/>
      </c>
      <c r="M249" t="str">
        <f t="shared" si="15"/>
        <v/>
      </c>
      <c r="N249" t="str">
        <f t="shared" si="17"/>
        <v/>
      </c>
      <c r="O249" t="str">
        <f t="shared" si="18"/>
        <v/>
      </c>
    </row>
    <row r="250" spans="12:15" x14ac:dyDescent="0.25">
      <c r="L250" t="str">
        <f t="shared" si="16"/>
        <v/>
      </c>
      <c r="M250" t="str">
        <f t="shared" si="15"/>
        <v/>
      </c>
      <c r="N250" t="str">
        <f t="shared" si="17"/>
        <v/>
      </c>
      <c r="O250" t="str">
        <f t="shared" si="18"/>
        <v/>
      </c>
    </row>
    <row r="251" spans="12:15" x14ac:dyDescent="0.25">
      <c r="L251" t="str">
        <f t="shared" si="16"/>
        <v/>
      </c>
      <c r="M251" t="str">
        <f t="shared" si="15"/>
        <v/>
      </c>
      <c r="N251" t="str">
        <f t="shared" si="17"/>
        <v/>
      </c>
      <c r="O251" t="str">
        <f t="shared" si="18"/>
        <v/>
      </c>
    </row>
    <row r="252" spans="12:15" x14ac:dyDescent="0.25">
      <c r="L252" t="str">
        <f t="shared" si="16"/>
        <v/>
      </c>
      <c r="M252" t="str">
        <f t="shared" si="15"/>
        <v/>
      </c>
      <c r="N252" t="str">
        <f t="shared" si="17"/>
        <v/>
      </c>
      <c r="O252" t="str">
        <f t="shared" si="18"/>
        <v/>
      </c>
    </row>
    <row r="253" spans="12:15" x14ac:dyDescent="0.25">
      <c r="L253" t="str">
        <f t="shared" si="16"/>
        <v/>
      </c>
      <c r="M253" t="str">
        <f t="shared" si="15"/>
        <v/>
      </c>
      <c r="N253" t="str">
        <f t="shared" si="17"/>
        <v/>
      </c>
      <c r="O253" t="str">
        <f t="shared" si="18"/>
        <v/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Transaction Glossary</vt:lpstr>
      <vt:lpstr>Individual Stock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Asselstine</dc:creator>
  <cp:lastModifiedBy>Isaac Asselstine</cp:lastModifiedBy>
  <dcterms:created xsi:type="dcterms:W3CDTF">2026-06-02T21:22:56Z</dcterms:created>
  <dcterms:modified xsi:type="dcterms:W3CDTF">2026-06-10T19:51:42Z</dcterms:modified>
</cp:coreProperties>
</file>