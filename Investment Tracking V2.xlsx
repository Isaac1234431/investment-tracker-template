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cmfirm-my.sharepoint.com/personal/isaac_asselstine_treewalk_com/Documents/Documents/Investment Automation/"/>
    </mc:Choice>
  </mc:AlternateContent>
  <xr:revisionPtr revIDLastSave="4543" documentId="8_{B2161804-0EDF-42E0-BE0F-33C496CCEE53}" xr6:coauthVersionLast="47" xr6:coauthVersionMax="47" xr10:uidLastSave="{E2B8740E-FB77-4385-868C-A006D7B921B4}"/>
  <bookViews>
    <workbookView xWindow="28680" yWindow="-120" windowWidth="29040" windowHeight="15720" activeTab="1" xr2:uid="{5D310D58-D25C-478B-96CD-BDDADD687EF5}"/>
  </bookViews>
  <sheets>
    <sheet name="Summary" sheetId="2" r:id="rId1"/>
    <sheet name="Reference Template" sheetId="5" r:id="rId2"/>
    <sheet name="Individual Stock Template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S3" i="5" l="1"/>
  <c r="C6" i="9" a="1"/>
  <c r="C6" i="9" s="1"/>
  <c r="O154" i="9"/>
  <c r="O153" i="9"/>
  <c r="O152" i="9"/>
  <c r="O151" i="9"/>
  <c r="O150" i="9"/>
  <c r="O149" i="9"/>
  <c r="O148" i="9"/>
  <c r="O147" i="9"/>
  <c r="O146" i="9"/>
  <c r="O145" i="9"/>
  <c r="O144" i="9"/>
  <c r="O143" i="9"/>
  <c r="O142" i="9"/>
  <c r="O141" i="9"/>
  <c r="O140" i="9"/>
  <c r="O139" i="9"/>
  <c r="O138" i="9"/>
  <c r="O137" i="9"/>
  <c r="O136" i="9"/>
  <c r="O135" i="9"/>
  <c r="O134" i="9"/>
  <c r="O133" i="9"/>
  <c r="O132" i="9"/>
  <c r="O131" i="9"/>
  <c r="O130" i="9"/>
  <c r="O129" i="9"/>
  <c r="O128" i="9"/>
  <c r="O127" i="9"/>
  <c r="O126" i="9"/>
  <c r="O125" i="9"/>
  <c r="O124" i="9"/>
  <c r="O123" i="9"/>
  <c r="O122" i="9"/>
  <c r="O121" i="9"/>
  <c r="O120" i="9"/>
  <c r="O119" i="9"/>
  <c r="O118" i="9"/>
  <c r="O117" i="9"/>
  <c r="O116" i="9"/>
  <c r="O115" i="9"/>
  <c r="O114" i="9"/>
  <c r="O113" i="9"/>
  <c r="O112" i="9"/>
  <c r="O111" i="9"/>
  <c r="O110" i="9"/>
  <c r="O109" i="9"/>
  <c r="O108" i="9"/>
  <c r="O107" i="9"/>
  <c r="O106" i="9"/>
  <c r="O105" i="9"/>
  <c r="O104" i="9"/>
  <c r="O103" i="9"/>
  <c r="O102" i="9"/>
  <c r="O101" i="9"/>
  <c r="O100" i="9"/>
  <c r="O99" i="9"/>
  <c r="O98" i="9"/>
  <c r="O97" i="9"/>
  <c r="O96" i="9"/>
  <c r="O95" i="9"/>
  <c r="O94" i="9"/>
  <c r="O93" i="9"/>
  <c r="O92" i="9"/>
  <c r="O91" i="9"/>
  <c r="O90" i="9"/>
  <c r="O89" i="9"/>
  <c r="O88" i="9"/>
  <c r="O87" i="9"/>
  <c r="O86" i="9"/>
  <c r="O85" i="9"/>
  <c r="O84" i="9"/>
  <c r="O83" i="9"/>
  <c r="O82" i="9"/>
  <c r="O81" i="9"/>
  <c r="O80" i="9"/>
  <c r="O79" i="9"/>
  <c r="O78" i="9"/>
  <c r="O77" i="9"/>
  <c r="O76" i="9"/>
  <c r="O75" i="9"/>
  <c r="O74" i="9"/>
  <c r="O73" i="9"/>
  <c r="O72" i="9"/>
  <c r="O71" i="9"/>
  <c r="O70" i="9"/>
  <c r="O69" i="9"/>
  <c r="O68" i="9"/>
  <c r="O67" i="9"/>
  <c r="O66" i="9"/>
  <c r="O65" i="9"/>
  <c r="O64" i="9"/>
  <c r="O63" i="9"/>
  <c r="O62" i="9"/>
  <c r="O61" i="9"/>
  <c r="O60" i="9"/>
  <c r="O59" i="9"/>
  <c r="O58" i="9"/>
  <c r="O57" i="9"/>
  <c r="O56" i="9"/>
  <c r="O55" i="9"/>
  <c r="O54" i="9"/>
  <c r="O53" i="9"/>
  <c r="O52" i="9"/>
  <c r="O51" i="9"/>
  <c r="O50" i="9"/>
  <c r="O49" i="9"/>
  <c r="O48" i="9"/>
  <c r="O47" i="9"/>
  <c r="O46" i="9"/>
  <c r="O45" i="9"/>
  <c r="O44" i="9"/>
  <c r="O43" i="9"/>
  <c r="O42" i="9"/>
  <c r="O41" i="9"/>
  <c r="O40" i="9"/>
  <c r="O39" i="9"/>
  <c r="O38" i="9"/>
  <c r="O37" i="9"/>
  <c r="O36" i="9"/>
  <c r="O35" i="9"/>
  <c r="O34" i="9"/>
  <c r="O33" i="9"/>
  <c r="O32" i="9"/>
  <c r="O31" i="9"/>
  <c r="O30" i="9"/>
  <c r="O29" i="9"/>
  <c r="O21" i="9"/>
  <c r="O20" i="9"/>
  <c r="O19" i="9"/>
  <c r="O18" i="9"/>
  <c r="O17" i="9"/>
  <c r="O16" i="9"/>
  <c r="O15" i="9"/>
  <c r="O14" i="9"/>
  <c r="O13" i="9"/>
  <c r="N154" i="9"/>
  <c r="N153" i="9"/>
  <c r="N152" i="9"/>
  <c r="N151" i="9"/>
  <c r="N150" i="9"/>
  <c r="N149" i="9"/>
  <c r="N148" i="9"/>
  <c r="N147" i="9"/>
  <c r="N146" i="9"/>
  <c r="N145" i="9"/>
  <c r="N144" i="9"/>
  <c r="N143" i="9"/>
  <c r="N142" i="9"/>
  <c r="N141" i="9"/>
  <c r="N140" i="9"/>
  <c r="N139" i="9"/>
  <c r="N138" i="9"/>
  <c r="N137" i="9"/>
  <c r="N136" i="9"/>
  <c r="N135" i="9"/>
  <c r="N134" i="9"/>
  <c r="N133" i="9"/>
  <c r="N132" i="9"/>
  <c r="N131" i="9"/>
  <c r="N130" i="9"/>
  <c r="N129" i="9"/>
  <c r="N128" i="9"/>
  <c r="N127" i="9"/>
  <c r="N126" i="9"/>
  <c r="N125" i="9"/>
  <c r="N124" i="9"/>
  <c r="N123" i="9"/>
  <c r="N122" i="9"/>
  <c r="N121" i="9"/>
  <c r="N120" i="9"/>
  <c r="N119" i="9"/>
  <c r="N118" i="9"/>
  <c r="N117" i="9"/>
  <c r="N116" i="9"/>
  <c r="N115" i="9"/>
  <c r="N114" i="9"/>
  <c r="N113" i="9"/>
  <c r="N112" i="9"/>
  <c r="N111" i="9"/>
  <c r="N110" i="9"/>
  <c r="N109" i="9"/>
  <c r="N108" i="9"/>
  <c r="N107" i="9"/>
  <c r="N106" i="9"/>
  <c r="N105" i="9"/>
  <c r="N104" i="9"/>
  <c r="N103" i="9"/>
  <c r="N102" i="9"/>
  <c r="N101" i="9"/>
  <c r="N100" i="9"/>
  <c r="N99" i="9"/>
  <c r="N98" i="9"/>
  <c r="N97" i="9"/>
  <c r="N96" i="9"/>
  <c r="N95" i="9"/>
  <c r="N94" i="9"/>
  <c r="N93" i="9"/>
  <c r="N92" i="9"/>
  <c r="N91" i="9"/>
  <c r="N90" i="9"/>
  <c r="N89" i="9"/>
  <c r="N88" i="9"/>
  <c r="N87" i="9"/>
  <c r="N86" i="9"/>
  <c r="N85" i="9"/>
  <c r="N84" i="9"/>
  <c r="N83" i="9"/>
  <c r="N82" i="9"/>
  <c r="N81" i="9"/>
  <c r="N80" i="9"/>
  <c r="N79" i="9"/>
  <c r="N78" i="9"/>
  <c r="N77" i="9"/>
  <c r="N76" i="9"/>
  <c r="N75" i="9"/>
  <c r="N74" i="9"/>
  <c r="N73" i="9"/>
  <c r="N72" i="9"/>
  <c r="N71" i="9"/>
  <c r="N70" i="9"/>
  <c r="N69" i="9"/>
  <c r="N68" i="9"/>
  <c r="N67" i="9"/>
  <c r="N66" i="9"/>
  <c r="N65" i="9"/>
  <c r="N64" i="9"/>
  <c r="N63" i="9"/>
  <c r="N62" i="9"/>
  <c r="N61" i="9"/>
  <c r="N60" i="9"/>
  <c r="N59" i="9"/>
  <c r="N58" i="9"/>
  <c r="N57" i="9"/>
  <c r="N56" i="9"/>
  <c r="N55" i="9"/>
  <c r="N54" i="9"/>
  <c r="N53" i="9"/>
  <c r="N52" i="9"/>
  <c r="N51" i="9"/>
  <c r="N50" i="9"/>
  <c r="N49" i="9"/>
  <c r="N48" i="9"/>
  <c r="N47" i="9"/>
  <c r="N46" i="9"/>
  <c r="N45" i="9"/>
  <c r="N44" i="9"/>
  <c r="N43" i="9"/>
  <c r="N42" i="9"/>
  <c r="N41" i="9"/>
  <c r="N40" i="9"/>
  <c r="N39" i="9"/>
  <c r="N38" i="9"/>
  <c r="N37" i="9"/>
  <c r="N36" i="9"/>
  <c r="N35" i="9"/>
  <c r="N34" i="9"/>
  <c r="N33" i="9"/>
  <c r="N32" i="9"/>
  <c r="N31" i="9"/>
  <c r="N30" i="9"/>
  <c r="N29" i="9"/>
  <c r="N21" i="9"/>
  <c r="N20" i="9"/>
  <c r="N19" i="9"/>
  <c r="N18" i="9"/>
  <c r="N17" i="9"/>
  <c r="N16" i="9"/>
  <c r="N15" i="9"/>
  <c r="N14" i="9"/>
  <c r="N13" i="9"/>
  <c r="K6" i="5"/>
  <c r="N11" i="9" l="1"/>
  <c r="L6" i="9"/>
  <c r="L7" i="9" s="1"/>
  <c r="L8" i="9" s="1"/>
  <c r="L9" i="9" s="1"/>
  <c r="L10" i="9" s="1"/>
  <c r="L11" i="9" s="1"/>
  <c r="L12" i="9" s="1"/>
  <c r="L13" i="9" s="1"/>
  <c r="L14" i="9" s="1"/>
  <c r="L15" i="9" s="1"/>
  <c r="L16" i="9" s="1"/>
  <c r="L17" i="9" s="1"/>
  <c r="L18" i="9" s="1"/>
  <c r="L19" i="9" s="1"/>
  <c r="L20" i="9" s="1"/>
  <c r="L21" i="9" s="1"/>
  <c r="N12" i="9"/>
  <c r="N10" i="9"/>
  <c r="N7" i="9"/>
  <c r="N9" i="9"/>
  <c r="N8" i="9"/>
  <c r="N6" i="9"/>
  <c r="N28" i="9"/>
  <c r="N22" i="9"/>
  <c r="M6" i="9"/>
  <c r="N23" i="9"/>
  <c r="N27" i="9"/>
  <c r="N24" i="9"/>
  <c r="L22" i="9"/>
  <c r="L23" i="9" s="1"/>
  <c r="L24" i="9" s="1"/>
  <c r="L25" i="9" s="1"/>
  <c r="L26" i="9" s="1"/>
  <c r="L27" i="9" s="1"/>
  <c r="L28" i="9" s="1"/>
  <c r="L29" i="9" s="1"/>
  <c r="L30" i="9" s="1"/>
  <c r="L31" i="9" s="1"/>
  <c r="L32" i="9" s="1"/>
  <c r="L33" i="9" s="1"/>
  <c r="L34" i="9" s="1"/>
  <c r="L35" i="9" s="1"/>
  <c r="L36" i="9" s="1"/>
  <c r="L37" i="9" s="1"/>
  <c r="L38" i="9" s="1"/>
  <c r="L39" i="9" s="1"/>
  <c r="L40" i="9" s="1"/>
  <c r="L41" i="9" s="1"/>
  <c r="L42" i="9" s="1"/>
  <c r="L43" i="9" s="1"/>
  <c r="L44" i="9" s="1"/>
  <c r="L45" i="9" s="1"/>
  <c r="L46" i="9" s="1"/>
  <c r="L47" i="9" s="1"/>
  <c r="L48" i="9" s="1"/>
  <c r="L49" i="9" s="1"/>
  <c r="L50" i="9" s="1"/>
  <c r="L51" i="9" s="1"/>
  <c r="L52" i="9" s="1"/>
  <c r="L53" i="9" s="1"/>
  <c r="L54" i="9" s="1"/>
  <c r="L55" i="9" s="1"/>
  <c r="L56" i="9" s="1"/>
  <c r="L57" i="9" s="1"/>
  <c r="L58" i="9" s="1"/>
  <c r="L59" i="9" s="1"/>
  <c r="L60" i="9" s="1"/>
  <c r="L61" i="9" s="1"/>
  <c r="L62" i="9" s="1"/>
  <c r="L63" i="9" s="1"/>
  <c r="L64" i="9" s="1"/>
  <c r="L65" i="9" s="1"/>
  <c r="L66" i="9" s="1"/>
  <c r="L67" i="9" s="1"/>
  <c r="L68" i="9" s="1"/>
  <c r="L69" i="9" s="1"/>
  <c r="L70" i="9" s="1"/>
  <c r="L71" i="9" s="1"/>
  <c r="L72" i="9" s="1"/>
  <c r="L73" i="9" s="1"/>
  <c r="L74" i="9" s="1"/>
  <c r="L75" i="9" s="1"/>
  <c r="L76" i="9" s="1"/>
  <c r="L77" i="9" s="1"/>
  <c r="L78" i="9" s="1"/>
  <c r="L79" i="9" s="1"/>
  <c r="L80" i="9" s="1"/>
  <c r="L81" i="9" s="1"/>
  <c r="L82" i="9" s="1"/>
  <c r="L83" i="9" s="1"/>
  <c r="L84" i="9" s="1"/>
  <c r="L85" i="9" s="1"/>
  <c r="L86" i="9" s="1"/>
  <c r="L87" i="9" s="1"/>
  <c r="L88" i="9" s="1"/>
  <c r="L89" i="9" s="1"/>
  <c r="L90" i="9" s="1"/>
  <c r="L91" i="9" s="1"/>
  <c r="L92" i="9" s="1"/>
  <c r="L93" i="9" s="1"/>
  <c r="L94" i="9" s="1"/>
  <c r="L95" i="9" s="1"/>
  <c r="L96" i="9" s="1"/>
  <c r="L97" i="9" s="1"/>
  <c r="L98" i="9" s="1"/>
  <c r="L99" i="9" s="1"/>
  <c r="L100" i="9" s="1"/>
  <c r="L101" i="9" s="1"/>
  <c r="L102" i="9" s="1"/>
  <c r="L103" i="9" s="1"/>
  <c r="L104" i="9" s="1"/>
  <c r="L105" i="9" s="1"/>
  <c r="L106" i="9" s="1"/>
  <c r="L107" i="9" s="1"/>
  <c r="L108" i="9" s="1"/>
  <c r="L109" i="9" s="1"/>
  <c r="L110" i="9" s="1"/>
  <c r="L111" i="9" s="1"/>
  <c r="L112" i="9" s="1"/>
  <c r="L113" i="9" s="1"/>
  <c r="L114" i="9" s="1"/>
  <c r="L115" i="9" s="1"/>
  <c r="L116" i="9" s="1"/>
  <c r="L117" i="9" s="1"/>
  <c r="L118" i="9" s="1"/>
  <c r="L119" i="9" s="1"/>
  <c r="L120" i="9" s="1"/>
  <c r="L121" i="9" s="1"/>
  <c r="L122" i="9" s="1"/>
  <c r="L123" i="9" s="1"/>
  <c r="L124" i="9" s="1"/>
  <c r="L125" i="9" s="1"/>
  <c r="L126" i="9" s="1"/>
  <c r="L127" i="9" s="1"/>
  <c r="L128" i="9" s="1"/>
  <c r="L129" i="9" s="1"/>
  <c r="L130" i="9" s="1"/>
  <c r="L131" i="9" s="1"/>
  <c r="L132" i="9" s="1"/>
  <c r="L133" i="9" s="1"/>
  <c r="L134" i="9" s="1"/>
  <c r="L135" i="9" s="1"/>
  <c r="L136" i="9" s="1"/>
  <c r="L137" i="9" s="1"/>
  <c r="L138" i="9" s="1"/>
  <c r="L139" i="9" s="1"/>
  <c r="L140" i="9" s="1"/>
  <c r="L141" i="9" s="1"/>
  <c r="L142" i="9" s="1"/>
  <c r="L143" i="9" s="1"/>
  <c r="L144" i="9" s="1"/>
  <c r="L145" i="9" s="1"/>
  <c r="L146" i="9" s="1"/>
  <c r="L147" i="9" s="1"/>
  <c r="L148" i="9" s="1"/>
  <c r="L149" i="9" s="1"/>
  <c r="L150" i="9" s="1"/>
  <c r="L151" i="9" s="1"/>
  <c r="L152" i="9" s="1"/>
  <c r="L153" i="9" s="1"/>
  <c r="L154" i="9" s="1"/>
  <c r="R5" i="9" s="1"/>
  <c r="N25" i="9"/>
  <c r="N26" i="9"/>
  <c r="M7" i="9" l="1"/>
  <c r="O6" i="9"/>
  <c r="O7" i="9" l="1"/>
  <c r="M8" i="9"/>
  <c r="M9" i="9" l="1"/>
  <c r="O8" i="9"/>
  <c r="O9" i="9" l="1"/>
  <c r="M10" i="9"/>
  <c r="M11" i="9" l="1"/>
  <c r="O10" i="9"/>
  <c r="M12" i="9" l="1"/>
  <c r="O11" i="9"/>
  <c r="M13" i="9" l="1"/>
  <c r="M14" i="9" s="1"/>
  <c r="M15" i="9" s="1"/>
  <c r="M16" i="9" s="1"/>
  <c r="M17" i="9" s="1"/>
  <c r="M18" i="9" s="1"/>
  <c r="M19" i="9" s="1"/>
  <c r="M20" i="9" s="1"/>
  <c r="M21" i="9" s="1"/>
  <c r="M22" i="9" s="1"/>
  <c r="O12" i="9"/>
  <c r="M23" i="9" l="1"/>
  <c r="O22" i="9"/>
  <c r="M24" i="9" l="1"/>
  <c r="O23" i="9"/>
  <c r="M25" i="9" l="1"/>
  <c r="O24" i="9"/>
  <c r="M26" i="9" l="1"/>
  <c r="O25" i="9"/>
  <c r="M27" i="9" l="1"/>
  <c r="O26" i="9"/>
  <c r="M28" i="9" l="1"/>
  <c r="O27" i="9"/>
  <c r="O28" i="9" l="1"/>
  <c r="R4" i="9" s="1"/>
  <c r="M29" i="9"/>
  <c r="M30" i="9" s="1"/>
  <c r="M31" i="9" s="1"/>
  <c r="M32" i="9" s="1"/>
  <c r="M33" i="9" s="1"/>
  <c r="M34" i="9" s="1"/>
  <c r="M35" i="9" s="1"/>
  <c r="M36" i="9" s="1"/>
  <c r="M37" i="9" s="1"/>
  <c r="M38" i="9" s="1"/>
  <c r="M39" i="9" s="1"/>
  <c r="M40" i="9" s="1"/>
  <c r="M41" i="9" s="1"/>
  <c r="M42" i="9" s="1"/>
  <c r="M43" i="9" s="1"/>
  <c r="M44" i="9" s="1"/>
  <c r="M45" i="9" s="1"/>
  <c r="M46" i="9" s="1"/>
  <c r="M47" i="9" s="1"/>
  <c r="M48" i="9" s="1"/>
  <c r="M49" i="9" s="1"/>
  <c r="M50" i="9" s="1"/>
  <c r="M51" i="9" s="1"/>
  <c r="M52" i="9" s="1"/>
  <c r="M53" i="9" s="1"/>
  <c r="M54" i="9" s="1"/>
  <c r="M55" i="9" s="1"/>
  <c r="M56" i="9" s="1"/>
  <c r="M57" i="9" s="1"/>
  <c r="M58" i="9" s="1"/>
  <c r="M59" i="9" s="1"/>
  <c r="M60" i="9" s="1"/>
  <c r="M61" i="9" s="1"/>
  <c r="M62" i="9" s="1"/>
  <c r="M63" i="9" s="1"/>
  <c r="M64" i="9" s="1"/>
  <c r="M65" i="9" s="1"/>
  <c r="M66" i="9" s="1"/>
  <c r="M67" i="9" s="1"/>
  <c r="M68" i="9" s="1"/>
  <c r="M69" i="9" s="1"/>
  <c r="M70" i="9" s="1"/>
  <c r="M71" i="9" s="1"/>
  <c r="M72" i="9" s="1"/>
  <c r="M73" i="9" s="1"/>
  <c r="M74" i="9" s="1"/>
  <c r="M75" i="9" s="1"/>
  <c r="M76" i="9" s="1"/>
  <c r="M77" i="9" s="1"/>
  <c r="M78" i="9" s="1"/>
  <c r="M79" i="9" s="1"/>
  <c r="M80" i="9" s="1"/>
  <c r="M81" i="9" s="1"/>
  <c r="M82" i="9" s="1"/>
  <c r="M83" i="9" s="1"/>
  <c r="M84" i="9" s="1"/>
  <c r="M85" i="9" s="1"/>
  <c r="M86" i="9" s="1"/>
  <c r="M87" i="9" s="1"/>
  <c r="M88" i="9" s="1"/>
  <c r="M89" i="9" s="1"/>
  <c r="M90" i="9" s="1"/>
  <c r="M91" i="9" s="1"/>
  <c r="M92" i="9" s="1"/>
  <c r="M93" i="9" s="1"/>
  <c r="M94" i="9" s="1"/>
  <c r="M95" i="9" s="1"/>
  <c r="M96" i="9" s="1"/>
  <c r="M97" i="9" s="1"/>
  <c r="M98" i="9" s="1"/>
  <c r="M99" i="9" s="1"/>
  <c r="M100" i="9" s="1"/>
  <c r="M101" i="9" s="1"/>
  <c r="M102" i="9" s="1"/>
  <c r="M103" i="9" s="1"/>
  <c r="M104" i="9" s="1"/>
  <c r="M105" i="9" s="1"/>
  <c r="M106" i="9" s="1"/>
  <c r="M107" i="9" s="1"/>
  <c r="M108" i="9" s="1"/>
  <c r="M109" i="9" s="1"/>
  <c r="M110" i="9" s="1"/>
  <c r="M111" i="9" s="1"/>
  <c r="M112" i="9" s="1"/>
  <c r="M113" i="9" s="1"/>
  <c r="M114" i="9" s="1"/>
  <c r="M115" i="9" s="1"/>
  <c r="M116" i="9" s="1"/>
  <c r="M117" i="9" s="1"/>
  <c r="M118" i="9" s="1"/>
  <c r="M119" i="9" s="1"/>
  <c r="M120" i="9" s="1"/>
  <c r="M121" i="9" s="1"/>
  <c r="M122" i="9" s="1"/>
  <c r="M123" i="9" s="1"/>
  <c r="M124" i="9" s="1"/>
  <c r="M125" i="9" s="1"/>
  <c r="M126" i="9" s="1"/>
  <c r="M127" i="9" s="1"/>
  <c r="M128" i="9" s="1"/>
  <c r="M129" i="9" s="1"/>
  <c r="M130" i="9" s="1"/>
  <c r="M131" i="9" s="1"/>
  <c r="M132" i="9" s="1"/>
  <c r="M133" i="9" s="1"/>
  <c r="M134" i="9" s="1"/>
  <c r="M135" i="9" s="1"/>
  <c r="M136" i="9" s="1"/>
  <c r="M137" i="9" s="1"/>
  <c r="M138" i="9" s="1"/>
  <c r="M139" i="9" s="1"/>
  <c r="M140" i="9" s="1"/>
  <c r="M141" i="9" s="1"/>
  <c r="M142" i="9" s="1"/>
  <c r="M143" i="9" s="1"/>
  <c r="M144" i="9" s="1"/>
  <c r="M145" i="9" s="1"/>
  <c r="M146" i="9" s="1"/>
  <c r="M147" i="9" s="1"/>
  <c r="M148" i="9" s="1"/>
  <c r="M149" i="9" s="1"/>
  <c r="M150" i="9" s="1"/>
  <c r="M151" i="9" s="1"/>
  <c r="M152" i="9" s="1"/>
  <c r="M153" i="9" s="1"/>
  <c r="M154" i="9" s="1"/>
  <c r="R6" i="9" s="1"/>
  <c r="R7" i="9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<sst xmlns="http://schemas.openxmlformats.org/spreadsheetml/2006/main" count="117" uniqueCount="71">
  <si>
    <t>Beginning Balance</t>
  </si>
  <si>
    <t xml:space="preserve">Stock Added </t>
  </si>
  <si>
    <t>Stock Sold</t>
  </si>
  <si>
    <t>Ending Balance</t>
  </si>
  <si>
    <t>Investment</t>
  </si>
  <si>
    <t>Ticker</t>
  </si>
  <si>
    <t>Date</t>
  </si>
  <si>
    <t># of Shares</t>
  </si>
  <si>
    <t>Cost</t>
  </si>
  <si>
    <t>ACB</t>
  </si>
  <si>
    <t>Cost of Proceeds</t>
  </si>
  <si>
    <t>Shares Sold</t>
  </si>
  <si>
    <t>End Cost</t>
  </si>
  <si>
    <t>Ending shares</t>
  </si>
  <si>
    <t>Ending ACB</t>
  </si>
  <si>
    <t>Realized Gain</t>
  </si>
  <si>
    <t>Unrealized Gain</t>
  </si>
  <si>
    <t>Cost Added</t>
  </si>
  <si>
    <t>Added ABC</t>
  </si>
  <si>
    <t>Symbol</t>
  </si>
  <si>
    <t>Charges/Interest ($)</t>
  </si>
  <si>
    <t>Amount ($)</t>
  </si>
  <si>
    <t>Dividend</t>
  </si>
  <si>
    <t>CRM</t>
  </si>
  <si>
    <t>Salesforce Inc</t>
  </si>
  <si>
    <t>Bank Interest</t>
  </si>
  <si>
    <t>Bank Int 121625-011526</t>
  </si>
  <si>
    <t>SGOV</t>
  </si>
  <si>
    <t>iShares 0-3 Month Treasury Bond ETF</t>
  </si>
  <si>
    <t>LRHC</t>
  </si>
  <si>
    <t>Reverse Split</t>
  </si>
  <si>
    <t>La Rosa Holdings Corp — Reverse Split (Post)</t>
  </si>
  <si>
    <t>La Rosa Holdings Corp — XXX Reverse Split (Removed)</t>
  </si>
  <si>
    <t>Limit Price ($)</t>
  </si>
  <si>
    <t>Settle/Payable Date</t>
  </si>
  <si>
    <t>Expiration Date</t>
  </si>
  <si>
    <t>Pending</t>
  </si>
  <si>
    <t>Qual Div</t>
  </si>
  <si>
    <t>NUE</t>
  </si>
  <si>
    <t>Nucor Corp</t>
  </si>
  <si>
    <t>HPP</t>
  </si>
  <si>
    <t>Hudson Pacific Properties Inc</t>
  </si>
  <si>
    <t>Total Pending Transactions</t>
  </si>
  <si>
    <t>Total Positions (Securities)</t>
  </si>
  <si>
    <t>Total Cash &amp; Cash Investments</t>
  </si>
  <si>
    <t>TOTAL ENDING ACCOUNT VALUE</t>
  </si>
  <si>
    <t>Transactions</t>
  </si>
  <si>
    <t>Trans. Type</t>
  </si>
  <si>
    <t>Description/Investment</t>
  </si>
  <si>
    <t>$ per Share</t>
  </si>
  <si>
    <t>Total Amount ($)</t>
  </si>
  <si>
    <t>Pending Transactions</t>
  </si>
  <si>
    <t xml:space="preserve"> </t>
  </si>
  <si>
    <t>Currency</t>
  </si>
  <si>
    <t>USD</t>
  </si>
  <si>
    <t>Total Realized Gain</t>
  </si>
  <si>
    <t>Ending share balance</t>
  </si>
  <si>
    <t>FMV/Unit</t>
  </si>
  <si>
    <t>FMV Total</t>
  </si>
  <si>
    <t>MEDX</t>
  </si>
  <si>
    <t>XX</t>
  </si>
  <si>
    <t>Ticker:</t>
  </si>
  <si>
    <t>SELL</t>
  </si>
  <si>
    <t>BUY</t>
  </si>
  <si>
    <t>Total Shares</t>
  </si>
  <si>
    <t>Book Cost</t>
  </si>
  <si>
    <t>Outputs:</t>
  </si>
  <si>
    <t>Amount</t>
  </si>
  <si>
    <t>Beginning balances</t>
  </si>
  <si>
    <t>Proceeds</t>
  </si>
  <si>
    <t>Asset Identifyer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</si>
</sst>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$&quot;#,##0.00;\-&quot;$&quot;#,##0.00"/>
    <numFmt numFmtId="44" formatCode="_-&quot;$&quot;* #,##0.00_-;\-&quot;$&quot;* #,##0.00_-;_-&quot;$&quot;* &quot;-&quot;??_-;_-@_-"/>
    <numFmt numFmtId="164" formatCode="&quot;$&quot;#,##0.00"/>
    <numFmt numFmtId="165" formatCode="mmm/dd/yyyy"/>
    <numFmt numFmtId="166" formatCode="&quot;$&quot;#,##0.00;\-&quot;$&quot;#,##0.00;\-\ \-"/>
    <numFmt numFmtId="167" formatCode="&quot;$&quot;#,##0.00000_);\(&quot;$&quot;#,##0.00000\)"/>
    <numFmt numFmtId="168" formatCode="#,##0.00;\-#,##0.00;\-\ \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1">
    <xf numFmtId="0" fontId="0" fillId="0" borderId="0" xfId="0"/>
    <xf numFmtId="0" fontId="4" fillId="0" borderId="0" xfId="0" applyFont="1" applyAlignment="1">
      <alignment horizontal="center"/>
    </xf>
    <xf numFmtId="0" fontId="3" fillId="0" borderId="0" xfId="0" applyFont="1"/>
    <xf numFmtId="0" fontId="5" fillId="2" borderId="0" xfId="0" applyFont="1" applyFill="1"/>
    <xf numFmtId="0" fontId="0" fillId="2" borderId="0" xfId="0" applyFill="1"/>
    <xf numFmtId="14" fontId="0" fillId="0" borderId="0" xfId="0" applyNumberFormat="1"/>
    <xf numFmtId="164" fontId="3" fillId="0" borderId="0" xfId="0" applyNumberFormat="1" applyFont="1"/>
    <xf numFmtId="0" fontId="3" fillId="3" borderId="0" xfId="0" applyFont="1" applyFill="1"/>
    <xf numFmtId="164" fontId="3" fillId="3" borderId="0" xfId="0" applyNumberFormat="1" applyFont="1" applyFill="1"/>
    <xf numFmtId="165" fontId="0" fillId="0" borderId="0" xfId="0" applyNumberFormat="1"/>
    <xf numFmtId="0" fontId="5" fillId="2" borderId="0" xfId="0" applyFont="1" applyFill="1" applyAlignment="1">
      <alignment horizontal="left" indent="1"/>
    </xf>
    <xf numFmtId="0" fontId="0" fillId="0" borderId="0" xfId="0" applyAlignment="1">
      <alignment horizontal="center"/>
    </xf>
    <xf numFmtId="4" fontId="0" fillId="0" borderId="0" xfId="0" applyNumberFormat="1"/>
    <xf numFmtId="7" fontId="0" fillId="0" borderId="0" xfId="1" applyNumberFormat="1" applyFont="1"/>
    <xf numFmtId="7" fontId="0" fillId="0" borderId="0" xfId="0" applyNumberFormat="1"/>
    <xf numFmtId="0" fontId="3" fillId="4" borderId="0" xfId="0" applyFont="1" applyFill="1"/>
    <xf numFmtId="0" fontId="3" fillId="4" borderId="0" xfId="0" applyFont="1" applyFill="1" applyAlignment="1">
      <alignment horizontal="left"/>
    </xf>
    <xf numFmtId="166" fontId="0" fillId="0" borderId="0" xfId="0" applyNumberFormat="1"/>
    <xf numFmtId="0" fontId="3" fillId="3" borderId="1" xfId="0" applyFont="1" applyFill="1" applyBorder="1"/>
    <xf numFmtId="0" fontId="0" fillId="3" borderId="0" xfId="0" applyFill="1"/>
    <xf numFmtId="0" fontId="0" fillId="0" borderId="2" xfId="0" applyBorder="1"/>
    <xf numFmtId="0" fontId="0" fillId="2" borderId="2" xfId="0" applyFill="1" applyBorder="1"/>
    <xf numFmtId="0" fontId="3" fillId="4" borderId="2" xfId="0" applyFont="1" applyFill="1" applyBorder="1" applyAlignment="1">
      <alignment horizontal="left"/>
    </xf>
    <xf numFmtId="7" fontId="0" fillId="0" borderId="2" xfId="1" applyNumberFormat="1" applyFont="1" applyBorder="1"/>
    <xf numFmtId="167" fontId="0" fillId="0" borderId="0" xfId="1" applyNumberFormat="1" applyFont="1"/>
    <xf numFmtId="0" fontId="2" fillId="5" borderId="0" xfId="0" applyFont="1" applyFill="1"/>
    <xf numFmtId="0" fontId="0" fillId="0" borderId="3" xfId="0" applyBorder="1"/>
    <xf numFmtId="0" fontId="5" fillId="2" borderId="3" xfId="0" applyFont="1" applyFill="1" applyBorder="1" applyAlignment="1">
      <alignment horizontal="left" indent="1"/>
    </xf>
    <xf numFmtId="0" fontId="3" fillId="4" borderId="3" xfId="0" applyFont="1" applyFill="1" applyBorder="1" applyAlignment="1">
      <alignment horizontal="left"/>
    </xf>
    <xf numFmtId="166" fontId="0" fillId="0" borderId="3" xfId="0" applyNumberFormat="1" applyBorder="1"/>
    <xf numFmtId="0" fontId="3" fillId="3" borderId="4" xfId="0" applyFont="1" applyFill="1" applyBorder="1" applyAlignment="1">
      <alignment horizontal="left" indent="1"/>
    </xf>
    <xf numFmtId="0" fontId="0" fillId="3" borderId="4" xfId="0" applyFill="1" applyBorder="1"/>
    <xf numFmtId="166" fontId="0" fillId="3" borderId="0" xfId="0" applyNumberFormat="1" applyFill="1"/>
    <xf numFmtId="0" fontId="3" fillId="6" borderId="0" xfId="0" applyFont="1" applyFill="1"/>
    <xf numFmtId="168" fontId="0" fillId="0" borderId="0" xfId="0" applyNumberFormat="1"/>
    <xf numFmtId="0" fontId="3" fillId="7" borderId="0" xfId="0" applyFont="1" applyFill="1"/>
    <xf numFmtId="165" fontId="3" fillId="7" borderId="0" xfId="0" applyNumberFormat="1" applyFont="1" applyFill="1"/>
    <xf numFmtId="166" fontId="3" fillId="7" borderId="0" xfId="0" applyNumberFormat="1" applyFont="1" applyFill="1"/>
    <xf numFmtId="2" fontId="3" fillId="7" borderId="3" xfId="0" applyNumberFormat="1" applyFont="1" applyFill="1" applyBorder="1"/>
    <xf numFmtId="168" fontId="3" fillId="7" borderId="0" xfId="0" applyNumberFormat="1" applyFont="1" applyFill="1"/>
    <xf numFmtId="0" fontId="6" fillId="2" borderId="0" xfId="0" applyFont="1" applyFill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FD7DA08-6A76-4668-841D-C5D2CFD8D3F8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a88ce2c0-dc96-44ac-8674-b71dad204043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3E71E-7BBE-4E73-AFA8-4869A18E3213}">
  <dimension ref="C2:Y3"/>
  <sheetViews>
    <sheetView showGridLines="0" zoomScale="76" workbookViewId="0">
      <selection activeCell="G42" sqref="G42"/>
    </sheetView>
  </sheetViews>
  <sheetFormatPr defaultRowHeight="15" x14ac:dyDescent="0.25"/>
  <cols>
    <col min="1" max="2" width="2.140625" customWidth="1"/>
    <col min="3" max="3" width="31.42578125" customWidth="1"/>
    <col min="6" max="6" width="2.140625" customWidth="1"/>
    <col min="7" max="7" width="10.7109375" customWidth="1"/>
    <col min="11" max="11" width="2.140625" customWidth="1"/>
    <col min="12" max="12" width="12.5703125" customWidth="1"/>
    <col min="13" max="13" width="12.85546875" customWidth="1"/>
    <col min="14" max="14" width="10.85546875" customWidth="1"/>
    <col min="15" max="15" width="2.140625" customWidth="1"/>
    <col min="16" max="16" width="19.28515625" customWidth="1"/>
    <col min="17" max="17" width="10.85546875" customWidth="1"/>
    <col min="18" max="18" width="2.140625" customWidth="1"/>
    <col min="19" max="19" width="9" customWidth="1"/>
    <col min="20" max="20" width="14.85546875" customWidth="1"/>
    <col min="21" max="21" width="11.42578125" customWidth="1"/>
    <col min="22" max="22" width="15.140625" customWidth="1"/>
    <col min="23" max="24" width="16" customWidth="1"/>
    <col min="25" max="25" width="18.42578125" customWidth="1"/>
  </cols>
  <sheetData>
    <row r="2" spans="3:25" s="1" customFormat="1" ht="18.75" x14ac:dyDescent="0.3">
      <c r="C2" s="40" t="s">
        <v>70</v>
      </c>
      <c r="D2" s="40"/>
      <c r="E2" s="40"/>
      <c r="G2" s="40" t="s">
        <v>0</v>
      </c>
      <c r="H2" s="40"/>
      <c r="I2" s="40"/>
      <c r="J2" s="40"/>
      <c r="L2" s="40" t="s">
        <v>1</v>
      </c>
      <c r="M2" s="40"/>
      <c r="N2" s="40"/>
      <c r="P2" s="40" t="s">
        <v>2</v>
      </c>
      <c r="Q2" s="40"/>
      <c r="S2" s="40" t="s">
        <v>3</v>
      </c>
      <c r="T2" s="40"/>
      <c r="U2" s="40"/>
      <c r="V2" s="40"/>
      <c r="W2" s="40"/>
      <c r="X2" s="40"/>
      <c r="Y2" s="40"/>
    </row>
    <row r="3" spans="3:25" s="2" customFormat="1" x14ac:dyDescent="0.25">
      <c r="C3" s="15" t="s">
        <v>4</v>
      </c>
      <c r="D3" s="15" t="s">
        <v>5</v>
      </c>
      <c r="E3" s="33" t="s">
        <v>6</v>
      </c>
      <c r="G3" s="15" t="s">
        <v>8</v>
      </c>
      <c r="H3" s="15" t="s">
        <v>7</v>
      </c>
      <c r="I3" s="15" t="s">
        <v>9</v>
      </c>
      <c r="J3" s="15"/>
      <c r="L3" s="15" t="s">
        <v>17</v>
      </c>
      <c r="M3" s="15" t="s">
        <v>7</v>
      </c>
      <c r="N3" s="15" t="s">
        <v>18</v>
      </c>
      <c r="P3" s="15" t="s">
        <v>10</v>
      </c>
      <c r="Q3" s="15" t="s">
        <v>11</v>
      </c>
      <c r="S3" s="15" t="s">
        <v>12</v>
      </c>
      <c r="T3" s="15" t="s">
        <v>13</v>
      </c>
      <c r="U3" s="15" t="s">
        <v>14</v>
      </c>
      <c r="V3" s="15" t="s">
        <v>15</v>
      </c>
      <c r="W3" s="15" t="s">
        <v>57</v>
      </c>
      <c r="X3" s="15" t="s">
        <v>58</v>
      </c>
      <c r="Y3" s="15" t="s">
        <v>16</v>
      </c>
    </row>
  </sheetData>
  <mergeCells count="5">
    <mergeCell ref="C2:E2"/>
    <mergeCell ref="S2:Y2"/>
    <mergeCell ref="G2:J2"/>
    <mergeCell ref="L2:N2"/>
    <mergeCell ref="P2:Q2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F9D58-5C92-44CE-BEA8-7211F94352EC}">
  <dimension ref="C3:S13"/>
  <sheetViews>
    <sheetView tabSelected="1" zoomScale="66" zoomScaleNormal="390" workbookViewId="0">
      <selection activeCell="G42" sqref="G42"/>
    </sheetView>
  </sheetViews>
  <sheetFormatPr defaultRowHeight="15" x14ac:dyDescent="0.25"/>
  <cols>
    <col min="1" max="2" width="2.140625" customWidth="1"/>
    <col min="3" max="3" width="8.5703125" customWidth="1"/>
    <col min="4" max="4" width="18.140625" customWidth="1"/>
    <col min="5" max="5" width="15.85546875" customWidth="1"/>
    <col min="6" max="6" width="8.85546875" customWidth="1"/>
    <col min="7" max="7" width="52.85546875" customWidth="1"/>
    <col min="8" max="8" width="11" customWidth="1"/>
    <col min="9" max="11" width="16.140625" customWidth="1"/>
    <col min="12" max="12" width="16.140625" style="20" customWidth="1"/>
    <col min="13" max="13" width="16.140625" customWidth="1"/>
    <col min="14" max="14" width="14.28515625" customWidth="1"/>
    <col min="15" max="15" width="13.5703125" customWidth="1"/>
    <col min="16" max="16" width="12.5703125" customWidth="1"/>
    <col min="17" max="17" width="2.140625" customWidth="1"/>
    <col min="18" max="18" width="30.140625" customWidth="1"/>
    <col min="19" max="19" width="16.140625" customWidth="1"/>
    <col min="20" max="20" width="11" customWidth="1"/>
    <col min="23" max="23" width="11.42578125" customWidth="1"/>
    <col min="24" max="24" width="15.140625" customWidth="1"/>
    <col min="25" max="26" width="16" customWidth="1"/>
    <col min="27" max="27" width="18.42578125" customWidth="1"/>
  </cols>
  <sheetData>
    <row r="3" spans="3:19" ht="15.75" x14ac:dyDescent="0.25">
      <c r="C3" s="10" t="s">
        <v>46</v>
      </c>
      <c r="D3" s="3"/>
      <c r="E3" s="4"/>
      <c r="F3" s="4"/>
      <c r="G3" s="4"/>
      <c r="H3" s="4"/>
      <c r="I3" s="4"/>
      <c r="J3" s="4"/>
      <c r="K3" s="4"/>
      <c r="L3" s="21"/>
      <c r="Q3" s="6"/>
      <c r="R3" s="7" t="s">
        <v>43</v>
      </c>
      <c r="S3" s="8">
        <f>SUM(K5:K7)</f>
        <v>150848.87</v>
      </c>
    </row>
    <row r="4" spans="3:19" x14ac:dyDescent="0.25">
      <c r="C4" s="15" t="s">
        <v>52</v>
      </c>
      <c r="D4" s="15" t="s">
        <v>6</v>
      </c>
      <c r="E4" s="15" t="s">
        <v>47</v>
      </c>
      <c r="F4" s="15" t="s">
        <v>19</v>
      </c>
      <c r="G4" s="15" t="s">
        <v>48</v>
      </c>
      <c r="H4" s="16" t="s">
        <v>53</v>
      </c>
      <c r="I4" s="16" t="s">
        <v>49</v>
      </c>
      <c r="J4" s="16" t="s">
        <v>7</v>
      </c>
      <c r="K4" s="16" t="s">
        <v>50</v>
      </c>
      <c r="L4" s="22" t="s">
        <v>20</v>
      </c>
      <c r="Q4" s="6"/>
      <c r="R4" s="7" t="s">
        <v>42</v>
      </c>
      <c r="S4" s="7"/>
    </row>
    <row r="5" spans="3:19" x14ac:dyDescent="0.25">
      <c r="D5" s="9">
        <v>46030</v>
      </c>
      <c r="E5" t="s">
        <v>22</v>
      </c>
      <c r="F5" t="s">
        <v>23</v>
      </c>
      <c r="G5" t="s">
        <v>24</v>
      </c>
      <c r="H5" s="11" t="s">
        <v>54</v>
      </c>
      <c r="I5" s="13"/>
      <c r="J5" s="12"/>
      <c r="K5" s="13">
        <v>8.32</v>
      </c>
      <c r="L5" s="23"/>
      <c r="Q5" s="6"/>
      <c r="R5" s="7" t="s">
        <v>44</v>
      </c>
      <c r="S5" s="7"/>
    </row>
    <row r="6" spans="3:19" ht="15.75" thickBot="1" x14ac:dyDescent="0.3">
      <c r="D6" s="9">
        <v>46043</v>
      </c>
      <c r="E6" t="s">
        <v>62</v>
      </c>
      <c r="F6" t="s">
        <v>27</v>
      </c>
      <c r="G6" t="s">
        <v>28</v>
      </c>
      <c r="H6" s="11" t="s">
        <v>54</v>
      </c>
      <c r="I6" s="13">
        <v>100.56</v>
      </c>
      <c r="J6" s="12">
        <v>-1500</v>
      </c>
      <c r="K6" s="14">
        <f>-(I6*J6+L6)</f>
        <v>150839.71</v>
      </c>
      <c r="L6" s="23">
        <v>0.28999999999999998</v>
      </c>
      <c r="Q6" s="6"/>
      <c r="R6" s="18" t="s">
        <v>45</v>
      </c>
      <c r="S6" s="18"/>
    </row>
    <row r="7" spans="3:19" ht="15.75" thickTop="1" x14ac:dyDescent="0.25">
      <c r="D7" s="9">
        <v>46038</v>
      </c>
      <c r="E7" t="s">
        <v>25</v>
      </c>
      <c r="G7" t="s">
        <v>26</v>
      </c>
      <c r="H7" s="11" t="s">
        <v>54</v>
      </c>
      <c r="I7" s="13"/>
      <c r="J7" s="12"/>
      <c r="K7" s="13">
        <v>0.84</v>
      </c>
      <c r="L7" s="23"/>
    </row>
    <row r="8" spans="3:19" x14ac:dyDescent="0.25">
      <c r="D8" s="9">
        <v>46048</v>
      </c>
      <c r="E8" t="s">
        <v>30</v>
      </c>
      <c r="F8" t="s">
        <v>29</v>
      </c>
      <c r="G8" t="s">
        <v>31</v>
      </c>
      <c r="H8" s="11" t="s">
        <v>54</v>
      </c>
      <c r="I8" s="13">
        <v>10000</v>
      </c>
      <c r="J8" s="12"/>
      <c r="K8" s="13"/>
      <c r="L8" s="23"/>
    </row>
    <row r="9" spans="3:19" x14ac:dyDescent="0.25">
      <c r="D9" s="9">
        <v>46048</v>
      </c>
      <c r="E9" t="s">
        <v>30</v>
      </c>
      <c r="F9" t="s">
        <v>29</v>
      </c>
      <c r="G9" t="s">
        <v>32</v>
      </c>
      <c r="H9" s="11" t="s">
        <v>54</v>
      </c>
      <c r="I9" s="13">
        <v>-100000</v>
      </c>
      <c r="J9" s="12"/>
      <c r="K9" s="13"/>
      <c r="L9" s="23"/>
    </row>
    <row r="10" spans="3:19" ht="15.75" x14ac:dyDescent="0.25">
      <c r="C10" s="10" t="s">
        <v>51</v>
      </c>
      <c r="D10" s="3"/>
      <c r="E10" s="4"/>
      <c r="F10" s="4"/>
      <c r="G10" s="4"/>
      <c r="H10" s="4"/>
      <c r="I10" s="4"/>
      <c r="J10" s="4"/>
      <c r="K10" s="4"/>
      <c r="L10" s="21"/>
      <c r="M10" s="4"/>
      <c r="N10" s="4"/>
      <c r="O10" s="4"/>
      <c r="P10" s="4"/>
    </row>
    <row r="11" spans="3:19" x14ac:dyDescent="0.25">
      <c r="C11" s="15" t="s">
        <v>52</v>
      </c>
      <c r="D11" s="15" t="s">
        <v>6</v>
      </c>
      <c r="E11" s="15" t="s">
        <v>47</v>
      </c>
      <c r="F11" s="15" t="s">
        <v>19</v>
      </c>
      <c r="G11" s="15" t="s">
        <v>48</v>
      </c>
      <c r="H11" s="16" t="s">
        <v>53</v>
      </c>
      <c r="I11" s="16" t="s">
        <v>49</v>
      </c>
      <c r="J11" s="16" t="s">
        <v>7</v>
      </c>
      <c r="K11" s="16" t="s">
        <v>50</v>
      </c>
      <c r="L11" s="22" t="s">
        <v>20</v>
      </c>
      <c r="M11" s="16" t="s">
        <v>33</v>
      </c>
      <c r="N11" s="16" t="s">
        <v>34</v>
      </c>
      <c r="O11" s="16" t="s">
        <v>35</v>
      </c>
      <c r="P11" s="16" t="s">
        <v>21</v>
      </c>
    </row>
    <row r="12" spans="3:19" x14ac:dyDescent="0.25">
      <c r="C12" t="s">
        <v>36</v>
      </c>
      <c r="D12" s="9">
        <v>46022</v>
      </c>
      <c r="E12" t="s">
        <v>37</v>
      </c>
      <c r="F12" t="s">
        <v>38</v>
      </c>
      <c r="G12" t="s">
        <v>39</v>
      </c>
      <c r="H12" s="11" t="s">
        <v>54</v>
      </c>
      <c r="I12" s="24">
        <v>0.56000000000000005</v>
      </c>
      <c r="J12" s="12">
        <v>28</v>
      </c>
      <c r="K12" s="13"/>
      <c r="L12" s="23"/>
      <c r="M12" s="13"/>
      <c r="N12" s="9">
        <v>46064</v>
      </c>
      <c r="O12" s="5"/>
      <c r="P12" s="13">
        <v>15.68</v>
      </c>
    </row>
    <row r="13" spans="3:19" x14ac:dyDescent="0.25">
      <c r="C13" t="s">
        <v>36</v>
      </c>
      <c r="D13" s="9">
        <v>46052</v>
      </c>
      <c r="E13" t="s">
        <v>63</v>
      </c>
      <c r="F13" t="s">
        <v>40</v>
      </c>
      <c r="G13" t="s">
        <v>41</v>
      </c>
      <c r="H13" s="11" t="s">
        <v>54</v>
      </c>
      <c r="I13" s="24">
        <v>8.7750000000000004</v>
      </c>
      <c r="J13" s="12">
        <v>750</v>
      </c>
      <c r="K13" s="13"/>
      <c r="L13" s="23"/>
      <c r="M13" s="13"/>
      <c r="N13" s="9">
        <v>46055</v>
      </c>
      <c r="P13" s="13">
        <v>-6581.25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3EEF3-4904-4A3C-A633-FF56D87F26AE}">
  <dimension ref="C2:R155"/>
  <sheetViews>
    <sheetView zoomScale="66" zoomScaleNormal="100" workbookViewId="0">
      <selection activeCell="U21" sqref="U21"/>
    </sheetView>
  </sheetViews>
  <sheetFormatPr defaultRowHeight="15" x14ac:dyDescent="0.25"/>
  <cols>
    <col min="1" max="2" width="2.140625" customWidth="1"/>
    <col min="3" max="3" width="9.42578125" customWidth="1"/>
    <col min="4" max="4" width="13.5703125" customWidth="1"/>
    <col min="5" max="5" width="11" bestFit="1" customWidth="1"/>
    <col min="6" max="6" width="7.5703125" bestFit="1" customWidth="1"/>
    <col min="7" max="7" width="22.5703125" bestFit="1" customWidth="1"/>
    <col min="8" max="8" width="8.85546875" bestFit="1" customWidth="1"/>
    <col min="9" max="9" width="16.7109375" bestFit="1" customWidth="1"/>
    <col min="10" max="10" width="16.7109375" customWidth="1"/>
    <col min="11" max="11" width="10.5703125" style="26" bestFit="1" customWidth="1"/>
    <col min="12" max="12" width="12.28515625" customWidth="1"/>
    <col min="13" max="13" width="12" customWidth="1"/>
    <col min="14" max="14" width="13.28515625" bestFit="1" customWidth="1"/>
    <col min="15" max="15" width="13.85546875" customWidth="1"/>
    <col min="17" max="17" width="28.7109375" customWidth="1"/>
    <col min="18" max="18" width="30.5703125" customWidth="1"/>
  </cols>
  <sheetData>
    <row r="2" spans="3:18" x14ac:dyDescent="0.25">
      <c r="C2" s="25" t="s">
        <v>61</v>
      </c>
      <c r="D2" s="25" t="s">
        <v>59</v>
      </c>
    </row>
    <row r="3" spans="3:18" ht="15.75" x14ac:dyDescent="0.25">
      <c r="C3" s="10" t="s">
        <v>46</v>
      </c>
      <c r="D3" s="10"/>
      <c r="E3" s="10"/>
      <c r="F3" s="10"/>
      <c r="G3" s="10"/>
      <c r="H3" s="10"/>
      <c r="I3" s="10"/>
      <c r="J3" s="10"/>
      <c r="K3" s="27"/>
      <c r="L3" s="10"/>
      <c r="M3" s="10"/>
      <c r="N3" s="10"/>
      <c r="O3" s="10"/>
      <c r="Q3" s="30" t="s">
        <v>66</v>
      </c>
      <c r="R3" s="31"/>
    </row>
    <row r="4" spans="3:18" x14ac:dyDescent="0.25">
      <c r="C4" s="15"/>
      <c r="D4" s="15" t="s">
        <v>6</v>
      </c>
      <c r="E4" s="15" t="s">
        <v>47</v>
      </c>
      <c r="F4" s="15" t="s">
        <v>19</v>
      </c>
      <c r="G4" s="15" t="s">
        <v>48</v>
      </c>
      <c r="H4" s="16" t="s">
        <v>53</v>
      </c>
      <c r="I4" s="16" t="s">
        <v>49</v>
      </c>
      <c r="J4" s="16" t="s">
        <v>7</v>
      </c>
      <c r="K4" s="28" t="s">
        <v>67</v>
      </c>
      <c r="L4" s="16" t="s">
        <v>64</v>
      </c>
      <c r="M4" s="16" t="s">
        <v>9</v>
      </c>
      <c r="N4" s="15" t="s">
        <v>69</v>
      </c>
      <c r="O4" s="15" t="s">
        <v>15</v>
      </c>
      <c r="Q4" s="7" t="s">
        <v>55</v>
      </c>
      <c r="R4" s="32">
        <f>SUM(O:O)</f>
        <v>0</v>
      </c>
    </row>
    <row r="5" spans="3:18" s="2" customFormat="1" x14ac:dyDescent="0.25">
      <c r="C5" s="35" t="s">
        <v>68</v>
      </c>
      <c r="D5" s="36"/>
      <c r="E5" s="35"/>
      <c r="F5" s="35"/>
      <c r="G5" s="35"/>
      <c r="H5" s="35"/>
      <c r="I5" s="37"/>
      <c r="J5" s="35"/>
      <c r="K5" s="38"/>
      <c r="L5" s="39">
        <v>0</v>
      </c>
      <c r="M5" s="37">
        <v>0</v>
      </c>
      <c r="N5" s="37"/>
      <c r="O5" s="37"/>
      <c r="Q5" s="19" t="s">
        <v>56</v>
      </c>
      <c r="R5" s="32">
        <f>L154</f>
        <v>0</v>
      </c>
    </row>
    <row r="6" spans="3:18" x14ac:dyDescent="0.25">
      <c r="C6" s="17" t="str" cm="1">
        <f t="array" ref="C6">_xlfn._xlws.FILTER('Reference Template'!C:K, 'Reference Template'!F:F=D2, " ")</f>
        <v xml:space="preserve"> </v>
      </c>
      <c r="D6" s="9"/>
      <c r="L6" s="34">
        <f>L5+J6</f>
        <v>0</v>
      </c>
      <c r="M6" s="17">
        <f>IF(E6="Buy", L5*M5+(-K6)/L6, M5)</f>
        <v>0</v>
      </c>
      <c r="N6" s="17">
        <f t="shared" ref="N6" si="0">IF(E6="Sell",K6, 0)</f>
        <v>0</v>
      </c>
      <c r="O6" s="17">
        <f t="shared" ref="O6:O37" si="1">IF(E6="Sell", N6+J6*M6, 0)</f>
        <v>0</v>
      </c>
      <c r="Q6" s="19" t="s">
        <v>14</v>
      </c>
      <c r="R6" s="32">
        <f>M154</f>
        <v>0</v>
      </c>
    </row>
    <row r="7" spans="3:18" x14ac:dyDescent="0.25">
      <c r="C7" s="17"/>
      <c r="D7" s="9"/>
      <c r="L7" s="34">
        <f t="shared" ref="L7:L70" si="2">L6+J7</f>
        <v>0</v>
      </c>
      <c r="M7" s="17">
        <f t="shared" ref="M7:M70" si="3">IF(E7="Buy", L6*M6+(-K7)/L7, M6)</f>
        <v>0</v>
      </c>
      <c r="N7" s="17">
        <f>IF(E7="Sell",K7, 0)</f>
        <v>0</v>
      </c>
      <c r="O7" s="17">
        <f t="shared" si="1"/>
        <v>0</v>
      </c>
      <c r="Q7" s="19" t="s">
        <v>65</v>
      </c>
      <c r="R7" s="32">
        <f>R5*R6</f>
        <v>0</v>
      </c>
    </row>
    <row r="8" spans="3:18" x14ac:dyDescent="0.25">
      <c r="C8" s="17"/>
      <c r="D8" s="9"/>
      <c r="L8" s="34">
        <f t="shared" si="2"/>
        <v>0</v>
      </c>
      <c r="M8" s="17">
        <f t="shared" si="3"/>
        <v>0</v>
      </c>
      <c r="N8" s="17">
        <f t="shared" ref="N8:N71" si="4">IF(E8="Sell",K8, 0)</f>
        <v>0</v>
      </c>
      <c r="O8" s="17">
        <f t="shared" si="1"/>
        <v>0</v>
      </c>
    </row>
    <row r="9" spans="3:18" x14ac:dyDescent="0.25">
      <c r="C9" s="17"/>
      <c r="D9" s="9"/>
      <c r="L9" s="34">
        <f t="shared" si="2"/>
        <v>0</v>
      </c>
      <c r="M9" s="17">
        <f>IF(E9="Buy", (L8*M8+(-K9))/L9, M8)</f>
        <v>0</v>
      </c>
      <c r="N9" s="17">
        <f t="shared" si="4"/>
        <v>0</v>
      </c>
      <c r="O9" s="17">
        <f t="shared" si="1"/>
        <v>0</v>
      </c>
    </row>
    <row r="10" spans="3:18" x14ac:dyDescent="0.25">
      <c r="C10" s="17"/>
      <c r="D10" s="9"/>
      <c r="L10" s="34">
        <f t="shared" si="2"/>
        <v>0</v>
      </c>
      <c r="M10" s="17">
        <f t="shared" si="3"/>
        <v>0</v>
      </c>
      <c r="N10" s="17">
        <f t="shared" si="4"/>
        <v>0</v>
      </c>
      <c r="O10" s="17">
        <f t="shared" si="1"/>
        <v>0</v>
      </c>
    </row>
    <row r="11" spans="3:18" x14ac:dyDescent="0.25">
      <c r="C11" s="17"/>
      <c r="D11" s="9"/>
      <c r="I11" s="17"/>
      <c r="L11" s="34">
        <f t="shared" si="2"/>
        <v>0</v>
      </c>
      <c r="M11" s="17">
        <f t="shared" si="3"/>
        <v>0</v>
      </c>
      <c r="N11" s="17">
        <f t="shared" si="4"/>
        <v>0</v>
      </c>
      <c r="O11" s="17">
        <f t="shared" si="1"/>
        <v>0</v>
      </c>
    </row>
    <row r="12" spans="3:18" x14ac:dyDescent="0.25">
      <c r="C12" s="17"/>
      <c r="D12" s="9"/>
      <c r="I12" s="17"/>
      <c r="L12" s="34">
        <f t="shared" si="2"/>
        <v>0</v>
      </c>
      <c r="M12" s="17">
        <f t="shared" si="3"/>
        <v>0</v>
      </c>
      <c r="N12" s="17">
        <f t="shared" si="4"/>
        <v>0</v>
      </c>
      <c r="O12" s="17">
        <f t="shared" si="1"/>
        <v>0</v>
      </c>
    </row>
    <row r="13" spans="3:18" x14ac:dyDescent="0.25">
      <c r="C13" s="17"/>
      <c r="D13" s="9"/>
      <c r="I13" s="17"/>
      <c r="L13" s="34">
        <f t="shared" si="2"/>
        <v>0</v>
      </c>
      <c r="M13" s="17">
        <f t="shared" si="3"/>
        <v>0</v>
      </c>
      <c r="N13" s="17">
        <f t="shared" si="4"/>
        <v>0</v>
      </c>
      <c r="O13" s="17">
        <f t="shared" si="1"/>
        <v>0</v>
      </c>
    </row>
    <row r="14" spans="3:18" x14ac:dyDescent="0.25">
      <c r="C14" s="17"/>
      <c r="D14" s="9"/>
      <c r="I14" s="17"/>
      <c r="L14" s="34">
        <f t="shared" si="2"/>
        <v>0</v>
      </c>
      <c r="M14" s="17">
        <f t="shared" si="3"/>
        <v>0</v>
      </c>
      <c r="N14" s="17">
        <f t="shared" si="4"/>
        <v>0</v>
      </c>
      <c r="O14" s="17">
        <f t="shared" si="1"/>
        <v>0</v>
      </c>
    </row>
    <row r="15" spans="3:18" x14ac:dyDescent="0.25">
      <c r="D15" s="9"/>
      <c r="I15" s="17"/>
      <c r="L15" s="34">
        <f t="shared" si="2"/>
        <v>0</v>
      </c>
      <c r="M15" s="17">
        <f t="shared" si="3"/>
        <v>0</v>
      </c>
      <c r="N15" s="17">
        <f t="shared" si="4"/>
        <v>0</v>
      </c>
      <c r="O15" s="17">
        <f t="shared" si="1"/>
        <v>0</v>
      </c>
    </row>
    <row r="16" spans="3:18" x14ac:dyDescent="0.25">
      <c r="C16" s="17"/>
      <c r="D16" s="9"/>
      <c r="I16" s="17"/>
      <c r="L16" s="34">
        <f t="shared" si="2"/>
        <v>0</v>
      </c>
      <c r="M16" s="17">
        <f t="shared" si="3"/>
        <v>0</v>
      </c>
      <c r="N16" s="17">
        <f t="shared" si="4"/>
        <v>0</v>
      </c>
      <c r="O16" s="17">
        <f t="shared" si="1"/>
        <v>0</v>
      </c>
    </row>
    <row r="17" spans="3:15" x14ac:dyDescent="0.25">
      <c r="C17" s="17"/>
      <c r="D17" s="9"/>
      <c r="I17" s="17"/>
      <c r="L17" s="34">
        <f t="shared" si="2"/>
        <v>0</v>
      </c>
      <c r="M17" s="17">
        <f t="shared" si="3"/>
        <v>0</v>
      </c>
      <c r="N17" s="17">
        <f t="shared" si="4"/>
        <v>0</v>
      </c>
      <c r="O17" s="17">
        <f t="shared" si="1"/>
        <v>0</v>
      </c>
    </row>
    <row r="18" spans="3:15" x14ac:dyDescent="0.25">
      <c r="C18" s="17"/>
      <c r="D18" s="9"/>
      <c r="I18" s="17"/>
      <c r="L18" s="34">
        <f t="shared" si="2"/>
        <v>0</v>
      </c>
      <c r="M18" s="17">
        <f t="shared" si="3"/>
        <v>0</v>
      </c>
      <c r="N18" s="17">
        <f t="shared" si="4"/>
        <v>0</v>
      </c>
      <c r="O18" s="17">
        <f t="shared" si="1"/>
        <v>0</v>
      </c>
    </row>
    <row r="19" spans="3:15" x14ac:dyDescent="0.25">
      <c r="C19" s="17"/>
      <c r="D19" s="9"/>
      <c r="I19" s="17"/>
      <c r="L19" s="34">
        <f t="shared" si="2"/>
        <v>0</v>
      </c>
      <c r="M19" s="17">
        <f t="shared" si="3"/>
        <v>0</v>
      </c>
      <c r="N19" s="17">
        <f t="shared" si="4"/>
        <v>0</v>
      </c>
      <c r="O19" s="17">
        <f t="shared" si="1"/>
        <v>0</v>
      </c>
    </row>
    <row r="20" spans="3:15" x14ac:dyDescent="0.25">
      <c r="C20" s="17"/>
      <c r="D20" s="9"/>
      <c r="I20" s="17"/>
      <c r="L20" s="34">
        <f t="shared" si="2"/>
        <v>0</v>
      </c>
      <c r="M20" s="17">
        <f t="shared" si="3"/>
        <v>0</v>
      </c>
      <c r="N20" s="17">
        <f t="shared" si="4"/>
        <v>0</v>
      </c>
      <c r="O20" s="17">
        <f t="shared" si="1"/>
        <v>0</v>
      </c>
    </row>
    <row r="21" spans="3:15" x14ac:dyDescent="0.25">
      <c r="C21" s="17"/>
      <c r="D21" s="9"/>
      <c r="I21" s="17"/>
      <c r="L21" s="34">
        <f t="shared" si="2"/>
        <v>0</v>
      </c>
      <c r="M21" s="17">
        <f t="shared" si="3"/>
        <v>0</v>
      </c>
      <c r="N21" s="17">
        <f t="shared" si="4"/>
        <v>0</v>
      </c>
      <c r="O21" s="17">
        <f t="shared" si="1"/>
        <v>0</v>
      </c>
    </row>
    <row r="22" spans="3:15" x14ac:dyDescent="0.25">
      <c r="D22" s="9"/>
      <c r="I22" s="17"/>
      <c r="L22" s="34">
        <f t="shared" si="2"/>
        <v>0</v>
      </c>
      <c r="M22" s="17">
        <f t="shared" si="3"/>
        <v>0</v>
      </c>
      <c r="N22" s="17">
        <f t="shared" si="4"/>
        <v>0</v>
      </c>
      <c r="O22" s="17">
        <f t="shared" si="1"/>
        <v>0</v>
      </c>
    </row>
    <row r="23" spans="3:15" x14ac:dyDescent="0.25">
      <c r="C23" s="17"/>
      <c r="D23" s="9"/>
      <c r="I23" s="17"/>
      <c r="L23" s="34">
        <f t="shared" si="2"/>
        <v>0</v>
      </c>
      <c r="M23" s="17">
        <f t="shared" si="3"/>
        <v>0</v>
      </c>
      <c r="N23" s="17">
        <f t="shared" si="4"/>
        <v>0</v>
      </c>
      <c r="O23" s="17">
        <f t="shared" si="1"/>
        <v>0</v>
      </c>
    </row>
    <row r="24" spans="3:15" x14ac:dyDescent="0.25">
      <c r="C24" s="17"/>
      <c r="D24" s="9"/>
      <c r="I24" s="17"/>
      <c r="L24" s="34">
        <f t="shared" si="2"/>
        <v>0</v>
      </c>
      <c r="M24" s="17">
        <f t="shared" si="3"/>
        <v>0</v>
      </c>
      <c r="N24" s="17">
        <f t="shared" si="4"/>
        <v>0</v>
      </c>
      <c r="O24" s="17">
        <f t="shared" si="1"/>
        <v>0</v>
      </c>
    </row>
    <row r="25" spans="3:15" x14ac:dyDescent="0.25">
      <c r="C25" s="17"/>
      <c r="D25" s="9"/>
      <c r="I25" s="17"/>
      <c r="L25" s="34">
        <f t="shared" si="2"/>
        <v>0</v>
      </c>
      <c r="M25" s="17">
        <f t="shared" si="3"/>
        <v>0</v>
      </c>
      <c r="N25" s="17">
        <f t="shared" si="4"/>
        <v>0</v>
      </c>
      <c r="O25" s="17">
        <f t="shared" si="1"/>
        <v>0</v>
      </c>
    </row>
    <row r="26" spans="3:15" x14ac:dyDescent="0.25">
      <c r="C26" s="17"/>
      <c r="D26" s="9"/>
      <c r="I26" s="17"/>
      <c r="L26" s="34">
        <f t="shared" si="2"/>
        <v>0</v>
      </c>
      <c r="M26" s="17">
        <f t="shared" si="3"/>
        <v>0</v>
      </c>
      <c r="N26" s="17">
        <f t="shared" si="4"/>
        <v>0</v>
      </c>
      <c r="O26" s="17">
        <f t="shared" si="1"/>
        <v>0</v>
      </c>
    </row>
    <row r="27" spans="3:15" x14ac:dyDescent="0.25">
      <c r="C27" s="17"/>
      <c r="D27" s="9"/>
      <c r="I27" s="17"/>
      <c r="L27" s="34">
        <f t="shared" si="2"/>
        <v>0</v>
      </c>
      <c r="M27" s="17">
        <f t="shared" si="3"/>
        <v>0</v>
      </c>
      <c r="N27" s="17">
        <f t="shared" si="4"/>
        <v>0</v>
      </c>
      <c r="O27" s="17">
        <f t="shared" si="1"/>
        <v>0</v>
      </c>
    </row>
    <row r="28" spans="3:15" x14ac:dyDescent="0.25">
      <c r="C28" s="17"/>
      <c r="D28" s="9"/>
      <c r="I28" s="17"/>
      <c r="L28" s="34">
        <f t="shared" si="2"/>
        <v>0</v>
      </c>
      <c r="M28" s="17">
        <f t="shared" si="3"/>
        <v>0</v>
      </c>
      <c r="N28" s="17">
        <f t="shared" si="4"/>
        <v>0</v>
      </c>
      <c r="O28" s="17">
        <f t="shared" si="1"/>
        <v>0</v>
      </c>
    </row>
    <row r="29" spans="3:15" x14ac:dyDescent="0.25">
      <c r="C29" s="17"/>
      <c r="D29" s="9"/>
      <c r="I29" s="17"/>
      <c r="L29" s="34">
        <f t="shared" si="2"/>
        <v>0</v>
      </c>
      <c r="M29" s="17">
        <f t="shared" si="3"/>
        <v>0</v>
      </c>
      <c r="N29" s="17">
        <f t="shared" si="4"/>
        <v>0</v>
      </c>
      <c r="O29" s="17">
        <f t="shared" si="1"/>
        <v>0</v>
      </c>
    </row>
    <row r="30" spans="3:15" x14ac:dyDescent="0.25">
      <c r="C30" s="17"/>
      <c r="D30" s="9"/>
      <c r="I30" s="17"/>
      <c r="L30" s="34">
        <f t="shared" si="2"/>
        <v>0</v>
      </c>
      <c r="M30" s="17">
        <f t="shared" si="3"/>
        <v>0</v>
      </c>
      <c r="N30" s="17">
        <f t="shared" si="4"/>
        <v>0</v>
      </c>
      <c r="O30" s="17">
        <f t="shared" si="1"/>
        <v>0</v>
      </c>
    </row>
    <row r="31" spans="3:15" x14ac:dyDescent="0.25">
      <c r="C31" s="17"/>
      <c r="D31" s="9"/>
      <c r="I31" s="17"/>
      <c r="L31" s="34">
        <f t="shared" si="2"/>
        <v>0</v>
      </c>
      <c r="M31" s="17">
        <f t="shared" si="3"/>
        <v>0</v>
      </c>
      <c r="N31" s="17">
        <f t="shared" si="4"/>
        <v>0</v>
      </c>
      <c r="O31" s="17">
        <f t="shared" si="1"/>
        <v>0</v>
      </c>
    </row>
    <row r="32" spans="3:15" x14ac:dyDescent="0.25">
      <c r="C32" s="17"/>
      <c r="D32" s="9"/>
      <c r="I32" s="17"/>
      <c r="L32" s="34">
        <f t="shared" si="2"/>
        <v>0</v>
      </c>
      <c r="M32" s="17">
        <f t="shared" si="3"/>
        <v>0</v>
      </c>
      <c r="N32" s="17">
        <f t="shared" si="4"/>
        <v>0</v>
      </c>
      <c r="O32" s="17">
        <f t="shared" si="1"/>
        <v>0</v>
      </c>
    </row>
    <row r="33" spans="3:15" x14ac:dyDescent="0.25">
      <c r="C33" s="17"/>
      <c r="D33" s="9"/>
      <c r="I33" s="17"/>
      <c r="L33" s="34">
        <f t="shared" si="2"/>
        <v>0</v>
      </c>
      <c r="M33" s="17">
        <f t="shared" si="3"/>
        <v>0</v>
      </c>
      <c r="N33" s="17">
        <f t="shared" si="4"/>
        <v>0</v>
      </c>
      <c r="O33" s="17">
        <f t="shared" si="1"/>
        <v>0</v>
      </c>
    </row>
    <row r="34" spans="3:15" x14ac:dyDescent="0.25">
      <c r="C34" s="17"/>
      <c r="D34" s="9"/>
      <c r="I34" s="17"/>
      <c r="L34" s="34">
        <f t="shared" si="2"/>
        <v>0</v>
      </c>
      <c r="M34" s="17">
        <f t="shared" si="3"/>
        <v>0</v>
      </c>
      <c r="N34" s="17">
        <f t="shared" si="4"/>
        <v>0</v>
      </c>
      <c r="O34" s="17">
        <f t="shared" si="1"/>
        <v>0</v>
      </c>
    </row>
    <row r="35" spans="3:15" x14ac:dyDescent="0.25">
      <c r="C35" s="17"/>
      <c r="D35" s="9"/>
      <c r="I35" s="17"/>
      <c r="L35" s="34">
        <f t="shared" si="2"/>
        <v>0</v>
      </c>
      <c r="M35" s="17">
        <f t="shared" si="3"/>
        <v>0</v>
      </c>
      <c r="N35" s="17">
        <f t="shared" si="4"/>
        <v>0</v>
      </c>
      <c r="O35" s="17">
        <f t="shared" si="1"/>
        <v>0</v>
      </c>
    </row>
    <row r="36" spans="3:15" x14ac:dyDescent="0.25">
      <c r="C36" s="17"/>
      <c r="D36" s="9"/>
      <c r="I36" s="17"/>
      <c r="L36" s="34">
        <f t="shared" si="2"/>
        <v>0</v>
      </c>
      <c r="M36" s="17">
        <f t="shared" si="3"/>
        <v>0</v>
      </c>
      <c r="N36" s="17">
        <f t="shared" si="4"/>
        <v>0</v>
      </c>
      <c r="O36" s="17">
        <f t="shared" si="1"/>
        <v>0</v>
      </c>
    </row>
    <row r="37" spans="3:15" x14ac:dyDescent="0.25">
      <c r="C37" s="17"/>
      <c r="D37" s="9"/>
      <c r="I37" s="17"/>
      <c r="L37" s="34">
        <f t="shared" si="2"/>
        <v>0</v>
      </c>
      <c r="M37" s="17">
        <f t="shared" si="3"/>
        <v>0</v>
      </c>
      <c r="N37" s="17">
        <f t="shared" si="4"/>
        <v>0</v>
      </c>
      <c r="O37" s="17">
        <f t="shared" si="1"/>
        <v>0</v>
      </c>
    </row>
    <row r="38" spans="3:15" x14ac:dyDescent="0.25">
      <c r="C38" s="17"/>
      <c r="D38" s="9"/>
      <c r="I38" s="17"/>
      <c r="L38" s="34">
        <f t="shared" si="2"/>
        <v>0</v>
      </c>
      <c r="M38" s="17">
        <f t="shared" si="3"/>
        <v>0</v>
      </c>
      <c r="N38" s="17">
        <f t="shared" si="4"/>
        <v>0</v>
      </c>
      <c r="O38" s="17">
        <f t="shared" ref="O38:O69" si="5">IF(E38="Sell", N38+J38*M38, 0)</f>
        <v>0</v>
      </c>
    </row>
    <row r="39" spans="3:15" x14ac:dyDescent="0.25">
      <c r="C39" s="17"/>
      <c r="D39" s="9"/>
      <c r="I39" s="17"/>
      <c r="L39" s="34">
        <f t="shared" si="2"/>
        <v>0</v>
      </c>
      <c r="M39" s="17">
        <f t="shared" si="3"/>
        <v>0</v>
      </c>
      <c r="N39" s="17">
        <f t="shared" si="4"/>
        <v>0</v>
      </c>
      <c r="O39" s="17">
        <f t="shared" si="5"/>
        <v>0</v>
      </c>
    </row>
    <row r="40" spans="3:15" x14ac:dyDescent="0.25">
      <c r="C40" s="17"/>
      <c r="D40" s="9"/>
      <c r="I40" s="17"/>
      <c r="L40" s="34">
        <f t="shared" si="2"/>
        <v>0</v>
      </c>
      <c r="M40" s="17">
        <f t="shared" si="3"/>
        <v>0</v>
      </c>
      <c r="N40" s="17">
        <f t="shared" si="4"/>
        <v>0</v>
      </c>
      <c r="O40" s="17">
        <f t="shared" si="5"/>
        <v>0</v>
      </c>
    </row>
    <row r="41" spans="3:15" x14ac:dyDescent="0.25">
      <c r="C41" s="17"/>
      <c r="D41" s="9"/>
      <c r="I41" s="17"/>
      <c r="L41" s="34">
        <f t="shared" si="2"/>
        <v>0</v>
      </c>
      <c r="M41" s="17">
        <f t="shared" si="3"/>
        <v>0</v>
      </c>
      <c r="N41" s="17">
        <f t="shared" si="4"/>
        <v>0</v>
      </c>
      <c r="O41" s="17">
        <f t="shared" si="5"/>
        <v>0</v>
      </c>
    </row>
    <row r="42" spans="3:15" x14ac:dyDescent="0.25">
      <c r="C42" s="17"/>
      <c r="D42" s="9"/>
      <c r="I42" s="17"/>
      <c r="L42" s="34">
        <f t="shared" si="2"/>
        <v>0</v>
      </c>
      <c r="M42" s="17">
        <f t="shared" si="3"/>
        <v>0</v>
      </c>
      <c r="N42" s="17">
        <f t="shared" si="4"/>
        <v>0</v>
      </c>
      <c r="O42" s="17">
        <f t="shared" si="5"/>
        <v>0</v>
      </c>
    </row>
    <row r="43" spans="3:15" x14ac:dyDescent="0.25">
      <c r="C43" s="17"/>
      <c r="D43" s="9"/>
      <c r="I43" s="17"/>
      <c r="L43" s="34">
        <f t="shared" si="2"/>
        <v>0</v>
      </c>
      <c r="M43" s="17">
        <f t="shared" si="3"/>
        <v>0</v>
      </c>
      <c r="N43" s="17">
        <f t="shared" si="4"/>
        <v>0</v>
      </c>
      <c r="O43" s="17">
        <f t="shared" si="5"/>
        <v>0</v>
      </c>
    </row>
    <row r="44" spans="3:15" x14ac:dyDescent="0.25">
      <c r="C44" s="17"/>
      <c r="D44" s="9"/>
      <c r="I44" s="17"/>
      <c r="L44" s="34">
        <f t="shared" si="2"/>
        <v>0</v>
      </c>
      <c r="M44" s="17">
        <f t="shared" si="3"/>
        <v>0</v>
      </c>
      <c r="N44" s="17">
        <f t="shared" si="4"/>
        <v>0</v>
      </c>
      <c r="O44" s="17">
        <f t="shared" si="5"/>
        <v>0</v>
      </c>
    </row>
    <row r="45" spans="3:15" x14ac:dyDescent="0.25">
      <c r="C45" s="17"/>
      <c r="D45" s="9"/>
      <c r="I45" s="17"/>
      <c r="L45" s="34">
        <f t="shared" si="2"/>
        <v>0</v>
      </c>
      <c r="M45" s="17">
        <f t="shared" si="3"/>
        <v>0</v>
      </c>
      <c r="N45" s="17">
        <f t="shared" si="4"/>
        <v>0</v>
      </c>
      <c r="O45" s="17">
        <f t="shared" si="5"/>
        <v>0</v>
      </c>
    </row>
    <row r="46" spans="3:15" x14ac:dyDescent="0.25">
      <c r="C46" s="17"/>
      <c r="D46" s="9"/>
      <c r="I46" s="17"/>
      <c r="L46" s="34">
        <f t="shared" si="2"/>
        <v>0</v>
      </c>
      <c r="M46" s="17">
        <f t="shared" si="3"/>
        <v>0</v>
      </c>
      <c r="N46" s="17">
        <f t="shared" si="4"/>
        <v>0</v>
      </c>
      <c r="O46" s="17">
        <f t="shared" si="5"/>
        <v>0</v>
      </c>
    </row>
    <row r="47" spans="3:15" x14ac:dyDescent="0.25">
      <c r="C47" s="17"/>
      <c r="D47" s="9"/>
      <c r="I47" s="17"/>
      <c r="L47" s="34">
        <f t="shared" si="2"/>
        <v>0</v>
      </c>
      <c r="M47" s="17">
        <f t="shared" si="3"/>
        <v>0</v>
      </c>
      <c r="N47" s="17">
        <f t="shared" si="4"/>
        <v>0</v>
      </c>
      <c r="O47" s="17">
        <f t="shared" si="5"/>
        <v>0</v>
      </c>
    </row>
    <row r="48" spans="3:15" x14ac:dyDescent="0.25">
      <c r="C48" s="17"/>
      <c r="D48" s="9"/>
      <c r="I48" s="17"/>
      <c r="L48" s="34">
        <f t="shared" si="2"/>
        <v>0</v>
      </c>
      <c r="M48" s="17">
        <f t="shared" si="3"/>
        <v>0</v>
      </c>
      <c r="N48" s="17">
        <f t="shared" si="4"/>
        <v>0</v>
      </c>
      <c r="O48" s="17">
        <f t="shared" si="5"/>
        <v>0</v>
      </c>
    </row>
    <row r="49" spans="3:15" x14ac:dyDescent="0.25">
      <c r="C49" s="17"/>
      <c r="D49" s="9"/>
      <c r="I49" s="17"/>
      <c r="L49" s="34">
        <f t="shared" si="2"/>
        <v>0</v>
      </c>
      <c r="M49" s="17">
        <f t="shared" si="3"/>
        <v>0</v>
      </c>
      <c r="N49" s="17">
        <f t="shared" si="4"/>
        <v>0</v>
      </c>
      <c r="O49" s="17">
        <f t="shared" si="5"/>
        <v>0</v>
      </c>
    </row>
    <row r="50" spans="3:15" x14ac:dyDescent="0.25">
      <c r="C50" s="17"/>
      <c r="D50" s="9"/>
      <c r="I50" s="17"/>
      <c r="L50" s="34">
        <f t="shared" si="2"/>
        <v>0</v>
      </c>
      <c r="M50" s="17">
        <f t="shared" si="3"/>
        <v>0</v>
      </c>
      <c r="N50" s="17">
        <f t="shared" si="4"/>
        <v>0</v>
      </c>
      <c r="O50" s="17">
        <f t="shared" si="5"/>
        <v>0</v>
      </c>
    </row>
    <row r="51" spans="3:15" x14ac:dyDescent="0.25">
      <c r="C51" s="17"/>
      <c r="D51" s="9"/>
      <c r="I51" s="17"/>
      <c r="L51" s="34">
        <f t="shared" si="2"/>
        <v>0</v>
      </c>
      <c r="M51" s="17">
        <f t="shared" si="3"/>
        <v>0</v>
      </c>
      <c r="N51" s="17">
        <f t="shared" si="4"/>
        <v>0</v>
      </c>
      <c r="O51" s="17">
        <f t="shared" si="5"/>
        <v>0</v>
      </c>
    </row>
    <row r="52" spans="3:15" x14ac:dyDescent="0.25">
      <c r="C52" s="17"/>
      <c r="D52" s="9"/>
      <c r="I52" s="17"/>
      <c r="L52" s="34">
        <f t="shared" si="2"/>
        <v>0</v>
      </c>
      <c r="M52" s="17">
        <f t="shared" si="3"/>
        <v>0</v>
      </c>
      <c r="N52" s="17">
        <f t="shared" si="4"/>
        <v>0</v>
      </c>
      <c r="O52" s="17">
        <f t="shared" si="5"/>
        <v>0</v>
      </c>
    </row>
    <row r="53" spans="3:15" x14ac:dyDescent="0.25">
      <c r="C53" s="17"/>
      <c r="D53" s="9"/>
      <c r="I53" s="17"/>
      <c r="L53" s="34">
        <f t="shared" si="2"/>
        <v>0</v>
      </c>
      <c r="M53" s="17">
        <f t="shared" si="3"/>
        <v>0</v>
      </c>
      <c r="N53" s="17">
        <f t="shared" si="4"/>
        <v>0</v>
      </c>
      <c r="O53" s="17">
        <f t="shared" si="5"/>
        <v>0</v>
      </c>
    </row>
    <row r="54" spans="3:15" x14ac:dyDescent="0.25">
      <c r="C54" s="17"/>
      <c r="D54" s="9"/>
      <c r="I54" s="17"/>
      <c r="L54" s="34">
        <f t="shared" si="2"/>
        <v>0</v>
      </c>
      <c r="M54" s="17">
        <f t="shared" si="3"/>
        <v>0</v>
      </c>
      <c r="N54" s="17">
        <f t="shared" si="4"/>
        <v>0</v>
      </c>
      <c r="O54" s="17">
        <f t="shared" si="5"/>
        <v>0</v>
      </c>
    </row>
    <row r="55" spans="3:15" x14ac:dyDescent="0.25">
      <c r="C55" s="17"/>
      <c r="D55" s="9"/>
      <c r="I55" s="17"/>
      <c r="L55" s="34">
        <f t="shared" si="2"/>
        <v>0</v>
      </c>
      <c r="M55" s="17">
        <f t="shared" si="3"/>
        <v>0</v>
      </c>
      <c r="N55" s="17">
        <f t="shared" si="4"/>
        <v>0</v>
      </c>
      <c r="O55" s="17">
        <f t="shared" si="5"/>
        <v>0</v>
      </c>
    </row>
    <row r="56" spans="3:15" x14ac:dyDescent="0.25">
      <c r="C56" s="17"/>
      <c r="D56" s="9"/>
      <c r="I56" s="17"/>
      <c r="L56" s="34">
        <f t="shared" si="2"/>
        <v>0</v>
      </c>
      <c r="M56" s="17">
        <f t="shared" si="3"/>
        <v>0</v>
      </c>
      <c r="N56" s="17">
        <f t="shared" si="4"/>
        <v>0</v>
      </c>
      <c r="O56" s="17">
        <f t="shared" si="5"/>
        <v>0</v>
      </c>
    </row>
    <row r="57" spans="3:15" x14ac:dyDescent="0.25">
      <c r="C57" s="17"/>
      <c r="D57" s="9"/>
      <c r="I57" s="17"/>
      <c r="L57" s="34">
        <f t="shared" si="2"/>
        <v>0</v>
      </c>
      <c r="M57" s="17">
        <f t="shared" si="3"/>
        <v>0</v>
      </c>
      <c r="N57" s="17">
        <f t="shared" si="4"/>
        <v>0</v>
      </c>
      <c r="O57" s="17">
        <f t="shared" si="5"/>
        <v>0</v>
      </c>
    </row>
    <row r="58" spans="3:15" x14ac:dyDescent="0.25">
      <c r="C58" s="17"/>
      <c r="D58" s="9"/>
      <c r="I58" s="17"/>
      <c r="L58" s="34">
        <f t="shared" si="2"/>
        <v>0</v>
      </c>
      <c r="M58" s="17">
        <f t="shared" si="3"/>
        <v>0</v>
      </c>
      <c r="N58" s="17">
        <f t="shared" si="4"/>
        <v>0</v>
      </c>
      <c r="O58" s="17">
        <f t="shared" si="5"/>
        <v>0</v>
      </c>
    </row>
    <row r="59" spans="3:15" x14ac:dyDescent="0.25">
      <c r="C59" s="17"/>
      <c r="D59" s="9"/>
      <c r="I59" s="17"/>
      <c r="L59" s="34">
        <f t="shared" si="2"/>
        <v>0</v>
      </c>
      <c r="M59" s="17">
        <f t="shared" si="3"/>
        <v>0</v>
      </c>
      <c r="N59" s="17">
        <f t="shared" si="4"/>
        <v>0</v>
      </c>
      <c r="O59" s="17">
        <f t="shared" si="5"/>
        <v>0</v>
      </c>
    </row>
    <row r="60" spans="3:15" x14ac:dyDescent="0.25">
      <c r="C60" s="17"/>
      <c r="D60" s="9"/>
      <c r="I60" s="17"/>
      <c r="L60" s="34">
        <f t="shared" si="2"/>
        <v>0</v>
      </c>
      <c r="M60" s="17">
        <f t="shared" si="3"/>
        <v>0</v>
      </c>
      <c r="N60" s="17">
        <f t="shared" si="4"/>
        <v>0</v>
      </c>
      <c r="O60" s="17">
        <f t="shared" si="5"/>
        <v>0</v>
      </c>
    </row>
    <row r="61" spans="3:15" x14ac:dyDescent="0.25">
      <c r="C61" s="17"/>
      <c r="D61" s="9"/>
      <c r="I61" s="17"/>
      <c r="L61" s="34">
        <f t="shared" si="2"/>
        <v>0</v>
      </c>
      <c r="M61" s="17">
        <f t="shared" si="3"/>
        <v>0</v>
      </c>
      <c r="N61" s="17">
        <f t="shared" si="4"/>
        <v>0</v>
      </c>
      <c r="O61" s="17">
        <f t="shared" si="5"/>
        <v>0</v>
      </c>
    </row>
    <row r="62" spans="3:15" x14ac:dyDescent="0.25">
      <c r="C62" s="17"/>
      <c r="D62" s="9"/>
      <c r="I62" s="17"/>
      <c r="L62" s="34">
        <f t="shared" si="2"/>
        <v>0</v>
      </c>
      <c r="M62" s="17">
        <f t="shared" si="3"/>
        <v>0</v>
      </c>
      <c r="N62" s="17">
        <f t="shared" si="4"/>
        <v>0</v>
      </c>
      <c r="O62" s="17">
        <f t="shared" si="5"/>
        <v>0</v>
      </c>
    </row>
    <row r="63" spans="3:15" x14ac:dyDescent="0.25">
      <c r="C63" s="17"/>
      <c r="D63" s="9"/>
      <c r="I63" s="17"/>
      <c r="L63" s="34">
        <f t="shared" si="2"/>
        <v>0</v>
      </c>
      <c r="M63" s="17">
        <f t="shared" si="3"/>
        <v>0</v>
      </c>
      <c r="N63" s="17">
        <f t="shared" si="4"/>
        <v>0</v>
      </c>
      <c r="O63" s="17">
        <f t="shared" si="5"/>
        <v>0</v>
      </c>
    </row>
    <row r="64" spans="3:15" x14ac:dyDescent="0.25">
      <c r="C64" s="17"/>
      <c r="D64" s="9"/>
      <c r="I64" s="17"/>
      <c r="L64" s="34">
        <f t="shared" si="2"/>
        <v>0</v>
      </c>
      <c r="M64" s="17">
        <f t="shared" si="3"/>
        <v>0</v>
      </c>
      <c r="N64" s="17">
        <f t="shared" si="4"/>
        <v>0</v>
      </c>
      <c r="O64" s="17">
        <f t="shared" si="5"/>
        <v>0</v>
      </c>
    </row>
    <row r="65" spans="3:15" x14ac:dyDescent="0.25">
      <c r="C65" s="17"/>
      <c r="D65" s="9"/>
      <c r="I65" s="17"/>
      <c r="L65" s="34">
        <f t="shared" si="2"/>
        <v>0</v>
      </c>
      <c r="M65" s="17">
        <f t="shared" si="3"/>
        <v>0</v>
      </c>
      <c r="N65" s="17">
        <f t="shared" si="4"/>
        <v>0</v>
      </c>
      <c r="O65" s="17">
        <f t="shared" si="5"/>
        <v>0</v>
      </c>
    </row>
    <row r="66" spans="3:15" x14ac:dyDescent="0.25">
      <c r="C66" s="17"/>
      <c r="D66" s="9"/>
      <c r="I66" s="17"/>
      <c r="L66" s="34">
        <f t="shared" si="2"/>
        <v>0</v>
      </c>
      <c r="M66" s="17">
        <f t="shared" si="3"/>
        <v>0</v>
      </c>
      <c r="N66" s="17">
        <f t="shared" si="4"/>
        <v>0</v>
      </c>
      <c r="O66" s="17">
        <f t="shared" si="5"/>
        <v>0</v>
      </c>
    </row>
    <row r="67" spans="3:15" x14ac:dyDescent="0.25">
      <c r="C67" s="17"/>
      <c r="D67" s="9"/>
      <c r="I67" s="17"/>
      <c r="L67" s="34">
        <f t="shared" si="2"/>
        <v>0</v>
      </c>
      <c r="M67" s="17">
        <f t="shared" si="3"/>
        <v>0</v>
      </c>
      <c r="N67" s="17">
        <f t="shared" si="4"/>
        <v>0</v>
      </c>
      <c r="O67" s="17">
        <f t="shared" si="5"/>
        <v>0</v>
      </c>
    </row>
    <row r="68" spans="3:15" x14ac:dyDescent="0.25">
      <c r="C68" s="17"/>
      <c r="D68" s="9"/>
      <c r="I68" s="17"/>
      <c r="L68" s="34">
        <f t="shared" si="2"/>
        <v>0</v>
      </c>
      <c r="M68" s="17">
        <f t="shared" si="3"/>
        <v>0</v>
      </c>
      <c r="N68" s="17">
        <f t="shared" si="4"/>
        <v>0</v>
      </c>
      <c r="O68" s="17">
        <f t="shared" si="5"/>
        <v>0</v>
      </c>
    </row>
    <row r="69" spans="3:15" x14ac:dyDescent="0.25">
      <c r="C69" s="17"/>
      <c r="D69" s="9"/>
      <c r="I69" s="17"/>
      <c r="L69" s="34">
        <f t="shared" si="2"/>
        <v>0</v>
      </c>
      <c r="M69" s="17">
        <f t="shared" si="3"/>
        <v>0</v>
      </c>
      <c r="N69" s="17">
        <f t="shared" si="4"/>
        <v>0</v>
      </c>
      <c r="O69" s="17">
        <f t="shared" si="5"/>
        <v>0</v>
      </c>
    </row>
    <row r="70" spans="3:15" x14ac:dyDescent="0.25">
      <c r="C70" s="17"/>
      <c r="D70" s="9"/>
      <c r="I70" s="17"/>
      <c r="L70" s="34">
        <f t="shared" si="2"/>
        <v>0</v>
      </c>
      <c r="M70" s="17">
        <f t="shared" si="3"/>
        <v>0</v>
      </c>
      <c r="N70" s="17">
        <f t="shared" si="4"/>
        <v>0</v>
      </c>
      <c r="O70" s="17">
        <f t="shared" ref="O70:O101" si="6">IF(E70="Sell", N70+J70*M70, 0)</f>
        <v>0</v>
      </c>
    </row>
    <row r="71" spans="3:15" x14ac:dyDescent="0.25">
      <c r="C71" s="17"/>
      <c r="D71" s="9"/>
      <c r="I71" s="17"/>
      <c r="L71" s="34">
        <f t="shared" ref="L71:L134" si="7">L70+J71</f>
        <v>0</v>
      </c>
      <c r="M71" s="17">
        <f t="shared" ref="M71:M134" si="8">IF(E71="Buy", L70*M70+(-K71)/L71, M70)</f>
        <v>0</v>
      </c>
      <c r="N71" s="17">
        <f t="shared" si="4"/>
        <v>0</v>
      </c>
      <c r="O71" s="17">
        <f t="shared" si="6"/>
        <v>0</v>
      </c>
    </row>
    <row r="72" spans="3:15" x14ac:dyDescent="0.25">
      <c r="C72" s="17"/>
      <c r="D72" s="9"/>
      <c r="I72" s="17"/>
      <c r="L72" s="34">
        <f t="shared" si="7"/>
        <v>0</v>
      </c>
      <c r="M72" s="17">
        <f t="shared" si="8"/>
        <v>0</v>
      </c>
      <c r="N72" s="17">
        <f t="shared" ref="N72:N135" si="9">IF(E72="Sell",K72, 0)</f>
        <v>0</v>
      </c>
      <c r="O72" s="17">
        <f t="shared" si="6"/>
        <v>0</v>
      </c>
    </row>
    <row r="73" spans="3:15" x14ac:dyDescent="0.25">
      <c r="C73" s="17"/>
      <c r="D73" s="9"/>
      <c r="I73" s="17"/>
      <c r="L73" s="34">
        <f t="shared" si="7"/>
        <v>0</v>
      </c>
      <c r="M73" s="17">
        <f t="shared" si="8"/>
        <v>0</v>
      </c>
      <c r="N73" s="17">
        <f t="shared" si="9"/>
        <v>0</v>
      </c>
      <c r="O73" s="17">
        <f t="shared" si="6"/>
        <v>0</v>
      </c>
    </row>
    <row r="74" spans="3:15" x14ac:dyDescent="0.25">
      <c r="C74" s="17"/>
      <c r="D74" s="9"/>
      <c r="I74" s="17"/>
      <c r="L74" s="34">
        <f t="shared" si="7"/>
        <v>0</v>
      </c>
      <c r="M74" s="17">
        <f t="shared" si="8"/>
        <v>0</v>
      </c>
      <c r="N74" s="17">
        <f t="shared" si="9"/>
        <v>0</v>
      </c>
      <c r="O74" s="17">
        <f t="shared" si="6"/>
        <v>0</v>
      </c>
    </row>
    <row r="75" spans="3:15" x14ac:dyDescent="0.25">
      <c r="C75" s="17"/>
      <c r="D75" s="9"/>
      <c r="I75" s="17"/>
      <c r="L75" s="34">
        <f t="shared" si="7"/>
        <v>0</v>
      </c>
      <c r="M75" s="17">
        <f t="shared" si="8"/>
        <v>0</v>
      </c>
      <c r="N75" s="17">
        <f t="shared" si="9"/>
        <v>0</v>
      </c>
      <c r="O75" s="17">
        <f t="shared" si="6"/>
        <v>0</v>
      </c>
    </row>
    <row r="76" spans="3:15" x14ac:dyDescent="0.25">
      <c r="C76" s="17"/>
      <c r="D76" s="9"/>
      <c r="I76" s="17"/>
      <c r="L76" s="34">
        <f t="shared" si="7"/>
        <v>0</v>
      </c>
      <c r="M76" s="17">
        <f t="shared" si="8"/>
        <v>0</v>
      </c>
      <c r="N76" s="17">
        <f t="shared" si="9"/>
        <v>0</v>
      </c>
      <c r="O76" s="17">
        <f t="shared" si="6"/>
        <v>0</v>
      </c>
    </row>
    <row r="77" spans="3:15" x14ac:dyDescent="0.25">
      <c r="C77" s="17"/>
      <c r="D77" s="9"/>
      <c r="I77" s="17"/>
      <c r="L77" s="34">
        <f t="shared" si="7"/>
        <v>0</v>
      </c>
      <c r="M77" s="17">
        <f t="shared" si="8"/>
        <v>0</v>
      </c>
      <c r="N77" s="17">
        <f t="shared" si="9"/>
        <v>0</v>
      </c>
      <c r="O77" s="17">
        <f t="shared" si="6"/>
        <v>0</v>
      </c>
    </row>
    <row r="78" spans="3:15" x14ac:dyDescent="0.25">
      <c r="C78" s="17"/>
      <c r="D78" s="9"/>
      <c r="I78" s="17"/>
      <c r="L78" s="34">
        <f t="shared" si="7"/>
        <v>0</v>
      </c>
      <c r="M78" s="17">
        <f t="shared" si="8"/>
        <v>0</v>
      </c>
      <c r="N78" s="17">
        <f t="shared" si="9"/>
        <v>0</v>
      </c>
      <c r="O78" s="17">
        <f t="shared" si="6"/>
        <v>0</v>
      </c>
    </row>
    <row r="79" spans="3:15" x14ac:dyDescent="0.25">
      <c r="C79" s="17"/>
      <c r="D79" s="9"/>
      <c r="I79" s="17"/>
      <c r="L79" s="34">
        <f t="shared" si="7"/>
        <v>0</v>
      </c>
      <c r="M79" s="17">
        <f t="shared" si="8"/>
        <v>0</v>
      </c>
      <c r="N79" s="17">
        <f t="shared" si="9"/>
        <v>0</v>
      </c>
      <c r="O79" s="17">
        <f t="shared" si="6"/>
        <v>0</v>
      </c>
    </row>
    <row r="80" spans="3:15" x14ac:dyDescent="0.25">
      <c r="C80" s="17"/>
      <c r="D80" s="9"/>
      <c r="I80" s="17"/>
      <c r="L80" s="34">
        <f t="shared" si="7"/>
        <v>0</v>
      </c>
      <c r="M80" s="17">
        <f t="shared" si="8"/>
        <v>0</v>
      </c>
      <c r="N80" s="17">
        <f t="shared" si="9"/>
        <v>0</v>
      </c>
      <c r="O80" s="17">
        <f t="shared" si="6"/>
        <v>0</v>
      </c>
    </row>
    <row r="81" spans="3:15" x14ac:dyDescent="0.25">
      <c r="C81" s="17"/>
      <c r="D81" s="9"/>
      <c r="I81" s="17"/>
      <c r="L81" s="34">
        <f t="shared" si="7"/>
        <v>0</v>
      </c>
      <c r="M81" s="17">
        <f t="shared" si="8"/>
        <v>0</v>
      </c>
      <c r="N81" s="17">
        <f t="shared" si="9"/>
        <v>0</v>
      </c>
      <c r="O81" s="17">
        <f t="shared" si="6"/>
        <v>0</v>
      </c>
    </row>
    <row r="82" spans="3:15" x14ac:dyDescent="0.25">
      <c r="C82" s="17"/>
      <c r="D82" s="9"/>
      <c r="I82" s="17"/>
      <c r="L82" s="34">
        <f t="shared" si="7"/>
        <v>0</v>
      </c>
      <c r="M82" s="17">
        <f t="shared" si="8"/>
        <v>0</v>
      </c>
      <c r="N82" s="17">
        <f t="shared" si="9"/>
        <v>0</v>
      </c>
      <c r="O82" s="17">
        <f t="shared" si="6"/>
        <v>0</v>
      </c>
    </row>
    <row r="83" spans="3:15" x14ac:dyDescent="0.25">
      <c r="C83" s="17"/>
      <c r="D83" s="9"/>
      <c r="I83" s="17"/>
      <c r="L83" s="34">
        <f t="shared" si="7"/>
        <v>0</v>
      </c>
      <c r="M83" s="17">
        <f t="shared" si="8"/>
        <v>0</v>
      </c>
      <c r="N83" s="17">
        <f t="shared" si="9"/>
        <v>0</v>
      </c>
      <c r="O83" s="17">
        <f t="shared" si="6"/>
        <v>0</v>
      </c>
    </row>
    <row r="84" spans="3:15" x14ac:dyDescent="0.25">
      <c r="C84" s="17"/>
      <c r="D84" s="9"/>
      <c r="I84" s="17"/>
      <c r="L84" s="34">
        <f t="shared" si="7"/>
        <v>0</v>
      </c>
      <c r="M84" s="17">
        <f t="shared" si="8"/>
        <v>0</v>
      </c>
      <c r="N84" s="17">
        <f t="shared" si="9"/>
        <v>0</v>
      </c>
      <c r="O84" s="17">
        <f t="shared" si="6"/>
        <v>0</v>
      </c>
    </row>
    <row r="85" spans="3:15" x14ac:dyDescent="0.25">
      <c r="C85" s="17"/>
      <c r="D85" s="9"/>
      <c r="I85" s="17"/>
      <c r="L85" s="34">
        <f t="shared" si="7"/>
        <v>0</v>
      </c>
      <c r="M85" s="17">
        <f t="shared" si="8"/>
        <v>0</v>
      </c>
      <c r="N85" s="17">
        <f t="shared" si="9"/>
        <v>0</v>
      </c>
      <c r="O85" s="17">
        <f t="shared" si="6"/>
        <v>0</v>
      </c>
    </row>
    <row r="86" spans="3:15" x14ac:dyDescent="0.25">
      <c r="C86" s="17"/>
      <c r="D86" s="9"/>
      <c r="I86" s="17"/>
      <c r="L86" s="34">
        <f t="shared" si="7"/>
        <v>0</v>
      </c>
      <c r="M86" s="17">
        <f t="shared" si="8"/>
        <v>0</v>
      </c>
      <c r="N86" s="17">
        <f t="shared" si="9"/>
        <v>0</v>
      </c>
      <c r="O86" s="17">
        <f t="shared" si="6"/>
        <v>0</v>
      </c>
    </row>
    <row r="87" spans="3:15" x14ac:dyDescent="0.25">
      <c r="C87" s="17"/>
      <c r="D87" s="9"/>
      <c r="I87" s="17"/>
      <c r="L87" s="34">
        <f t="shared" si="7"/>
        <v>0</v>
      </c>
      <c r="M87" s="17">
        <f t="shared" si="8"/>
        <v>0</v>
      </c>
      <c r="N87" s="17">
        <f t="shared" si="9"/>
        <v>0</v>
      </c>
      <c r="O87" s="17">
        <f t="shared" si="6"/>
        <v>0</v>
      </c>
    </row>
    <row r="88" spans="3:15" x14ac:dyDescent="0.25">
      <c r="C88" s="17"/>
      <c r="D88" s="9"/>
      <c r="I88" s="17"/>
      <c r="L88" s="34">
        <f t="shared" si="7"/>
        <v>0</v>
      </c>
      <c r="M88" s="17">
        <f t="shared" si="8"/>
        <v>0</v>
      </c>
      <c r="N88" s="17">
        <f t="shared" si="9"/>
        <v>0</v>
      </c>
      <c r="O88" s="17">
        <f t="shared" si="6"/>
        <v>0</v>
      </c>
    </row>
    <row r="89" spans="3:15" x14ac:dyDescent="0.25">
      <c r="C89" s="17"/>
      <c r="D89" s="9"/>
      <c r="I89" s="17"/>
      <c r="L89" s="34">
        <f t="shared" si="7"/>
        <v>0</v>
      </c>
      <c r="M89" s="17">
        <f t="shared" si="8"/>
        <v>0</v>
      </c>
      <c r="N89" s="17">
        <f t="shared" si="9"/>
        <v>0</v>
      </c>
      <c r="O89" s="17">
        <f t="shared" si="6"/>
        <v>0</v>
      </c>
    </row>
    <row r="90" spans="3:15" x14ac:dyDescent="0.25">
      <c r="C90" s="17"/>
      <c r="D90" s="9"/>
      <c r="I90" s="17"/>
      <c r="L90" s="34">
        <f t="shared" si="7"/>
        <v>0</v>
      </c>
      <c r="M90" s="17">
        <f t="shared" si="8"/>
        <v>0</v>
      </c>
      <c r="N90" s="17">
        <f t="shared" si="9"/>
        <v>0</v>
      </c>
      <c r="O90" s="17">
        <f t="shared" si="6"/>
        <v>0</v>
      </c>
    </row>
    <row r="91" spans="3:15" x14ac:dyDescent="0.25">
      <c r="C91" s="17"/>
      <c r="D91" s="9"/>
      <c r="I91" s="17"/>
      <c r="L91" s="34">
        <f t="shared" si="7"/>
        <v>0</v>
      </c>
      <c r="M91" s="17">
        <f t="shared" si="8"/>
        <v>0</v>
      </c>
      <c r="N91" s="17">
        <f t="shared" si="9"/>
        <v>0</v>
      </c>
      <c r="O91" s="17">
        <f t="shared" si="6"/>
        <v>0</v>
      </c>
    </row>
    <row r="92" spans="3:15" x14ac:dyDescent="0.25">
      <c r="C92" s="17"/>
      <c r="D92" s="9"/>
      <c r="I92" s="17"/>
      <c r="L92" s="34">
        <f t="shared" si="7"/>
        <v>0</v>
      </c>
      <c r="M92" s="17">
        <f t="shared" si="8"/>
        <v>0</v>
      </c>
      <c r="N92" s="17">
        <f t="shared" si="9"/>
        <v>0</v>
      </c>
      <c r="O92" s="17">
        <f t="shared" si="6"/>
        <v>0</v>
      </c>
    </row>
    <row r="93" spans="3:15" x14ac:dyDescent="0.25">
      <c r="C93" s="17"/>
      <c r="D93" s="9"/>
      <c r="I93" s="17"/>
      <c r="L93" s="34">
        <f t="shared" si="7"/>
        <v>0</v>
      </c>
      <c r="M93" s="17">
        <f t="shared" si="8"/>
        <v>0</v>
      </c>
      <c r="N93" s="17">
        <f t="shared" si="9"/>
        <v>0</v>
      </c>
      <c r="O93" s="17">
        <f t="shared" si="6"/>
        <v>0</v>
      </c>
    </row>
    <row r="94" spans="3:15" x14ac:dyDescent="0.25">
      <c r="C94" s="17"/>
      <c r="D94" s="9"/>
      <c r="I94" s="17"/>
      <c r="L94" s="34">
        <f t="shared" si="7"/>
        <v>0</v>
      </c>
      <c r="M94" s="17">
        <f t="shared" si="8"/>
        <v>0</v>
      </c>
      <c r="N94" s="17">
        <f t="shared" si="9"/>
        <v>0</v>
      </c>
      <c r="O94" s="17">
        <f t="shared" si="6"/>
        <v>0</v>
      </c>
    </row>
    <row r="95" spans="3:15" x14ac:dyDescent="0.25">
      <c r="C95" s="17"/>
      <c r="D95" s="9"/>
      <c r="I95" s="17"/>
      <c r="L95" s="34">
        <f t="shared" si="7"/>
        <v>0</v>
      </c>
      <c r="M95" s="17">
        <f t="shared" si="8"/>
        <v>0</v>
      </c>
      <c r="N95" s="17">
        <f t="shared" si="9"/>
        <v>0</v>
      </c>
      <c r="O95" s="17">
        <f t="shared" si="6"/>
        <v>0</v>
      </c>
    </row>
    <row r="96" spans="3:15" x14ac:dyDescent="0.25">
      <c r="C96" s="17"/>
      <c r="D96" s="9"/>
      <c r="I96" s="17"/>
      <c r="L96" s="34">
        <f t="shared" si="7"/>
        <v>0</v>
      </c>
      <c r="M96" s="17">
        <f t="shared" si="8"/>
        <v>0</v>
      </c>
      <c r="N96" s="17">
        <f t="shared" si="9"/>
        <v>0</v>
      </c>
      <c r="O96" s="17">
        <f t="shared" si="6"/>
        <v>0</v>
      </c>
    </row>
    <row r="97" spans="3:15" x14ac:dyDescent="0.25">
      <c r="C97" s="17"/>
      <c r="D97" s="9"/>
      <c r="I97" s="17"/>
      <c r="L97" s="34">
        <f t="shared" si="7"/>
        <v>0</v>
      </c>
      <c r="M97" s="17">
        <f t="shared" si="8"/>
        <v>0</v>
      </c>
      <c r="N97" s="17">
        <f t="shared" si="9"/>
        <v>0</v>
      </c>
      <c r="O97" s="17">
        <f t="shared" si="6"/>
        <v>0</v>
      </c>
    </row>
    <row r="98" spans="3:15" x14ac:dyDescent="0.25">
      <c r="C98" s="17"/>
      <c r="D98" s="9"/>
      <c r="I98" s="17"/>
      <c r="L98" s="34">
        <f t="shared" si="7"/>
        <v>0</v>
      </c>
      <c r="M98" s="17">
        <f t="shared" si="8"/>
        <v>0</v>
      </c>
      <c r="N98" s="17">
        <f t="shared" si="9"/>
        <v>0</v>
      </c>
      <c r="O98" s="17">
        <f t="shared" si="6"/>
        <v>0</v>
      </c>
    </row>
    <row r="99" spans="3:15" x14ac:dyDescent="0.25">
      <c r="C99" s="17"/>
      <c r="D99" s="9"/>
      <c r="I99" s="17"/>
      <c r="L99" s="34">
        <f t="shared" si="7"/>
        <v>0</v>
      </c>
      <c r="M99" s="17">
        <f t="shared" si="8"/>
        <v>0</v>
      </c>
      <c r="N99" s="17">
        <f t="shared" si="9"/>
        <v>0</v>
      </c>
      <c r="O99" s="17">
        <f t="shared" si="6"/>
        <v>0</v>
      </c>
    </row>
    <row r="100" spans="3:15" x14ac:dyDescent="0.25">
      <c r="C100" s="17"/>
      <c r="D100" s="9"/>
      <c r="I100" s="17"/>
      <c r="L100" s="34">
        <f t="shared" si="7"/>
        <v>0</v>
      </c>
      <c r="M100" s="17">
        <f t="shared" si="8"/>
        <v>0</v>
      </c>
      <c r="N100" s="17">
        <f t="shared" si="9"/>
        <v>0</v>
      </c>
      <c r="O100" s="17">
        <f t="shared" si="6"/>
        <v>0</v>
      </c>
    </row>
    <row r="101" spans="3:15" x14ac:dyDescent="0.25">
      <c r="C101" s="17"/>
      <c r="D101" s="9"/>
      <c r="I101" s="17"/>
      <c r="L101" s="34">
        <f t="shared" si="7"/>
        <v>0</v>
      </c>
      <c r="M101" s="17">
        <f t="shared" si="8"/>
        <v>0</v>
      </c>
      <c r="N101" s="17">
        <f t="shared" si="9"/>
        <v>0</v>
      </c>
      <c r="O101" s="17">
        <f t="shared" si="6"/>
        <v>0</v>
      </c>
    </row>
    <row r="102" spans="3:15" x14ac:dyDescent="0.25">
      <c r="C102" s="17"/>
      <c r="D102" s="9"/>
      <c r="I102" s="17"/>
      <c r="L102" s="34">
        <f t="shared" si="7"/>
        <v>0</v>
      </c>
      <c r="M102" s="17">
        <f t="shared" si="8"/>
        <v>0</v>
      </c>
      <c r="N102" s="17">
        <f t="shared" si="9"/>
        <v>0</v>
      </c>
      <c r="O102" s="17">
        <f t="shared" ref="O102:O133" si="10">IF(E102="Sell", N102+J102*M102, 0)</f>
        <v>0</v>
      </c>
    </row>
    <row r="103" spans="3:15" x14ac:dyDescent="0.25">
      <c r="C103" s="17"/>
      <c r="D103" s="9"/>
      <c r="I103" s="17"/>
      <c r="L103" s="34">
        <f t="shared" si="7"/>
        <v>0</v>
      </c>
      <c r="M103" s="17">
        <f t="shared" si="8"/>
        <v>0</v>
      </c>
      <c r="N103" s="17">
        <f t="shared" si="9"/>
        <v>0</v>
      </c>
      <c r="O103" s="17">
        <f t="shared" si="10"/>
        <v>0</v>
      </c>
    </row>
    <row r="104" spans="3:15" x14ac:dyDescent="0.25">
      <c r="C104" s="17"/>
      <c r="D104" s="9"/>
      <c r="I104" s="17"/>
      <c r="L104" s="34">
        <f t="shared" si="7"/>
        <v>0</v>
      </c>
      <c r="M104" s="17">
        <f t="shared" si="8"/>
        <v>0</v>
      </c>
      <c r="N104" s="17">
        <f t="shared" si="9"/>
        <v>0</v>
      </c>
      <c r="O104" s="17">
        <f t="shared" si="10"/>
        <v>0</v>
      </c>
    </row>
    <row r="105" spans="3:15" x14ac:dyDescent="0.25">
      <c r="C105" s="17"/>
      <c r="D105" s="9"/>
      <c r="I105" s="17"/>
      <c r="L105" s="34">
        <f t="shared" si="7"/>
        <v>0</v>
      </c>
      <c r="M105" s="17">
        <f t="shared" si="8"/>
        <v>0</v>
      </c>
      <c r="N105" s="17">
        <f t="shared" si="9"/>
        <v>0</v>
      </c>
      <c r="O105" s="17">
        <f t="shared" si="10"/>
        <v>0</v>
      </c>
    </row>
    <row r="106" spans="3:15" x14ac:dyDescent="0.25">
      <c r="C106" s="17"/>
      <c r="D106" s="9"/>
      <c r="I106" s="17"/>
      <c r="L106" s="34">
        <f t="shared" si="7"/>
        <v>0</v>
      </c>
      <c r="M106" s="17">
        <f t="shared" si="8"/>
        <v>0</v>
      </c>
      <c r="N106" s="17">
        <f t="shared" si="9"/>
        <v>0</v>
      </c>
      <c r="O106" s="17">
        <f t="shared" si="10"/>
        <v>0</v>
      </c>
    </row>
    <row r="107" spans="3:15" x14ac:dyDescent="0.25">
      <c r="C107" s="17"/>
      <c r="D107" s="9"/>
      <c r="I107" s="17"/>
      <c r="L107" s="34">
        <f t="shared" si="7"/>
        <v>0</v>
      </c>
      <c r="M107" s="17">
        <f t="shared" si="8"/>
        <v>0</v>
      </c>
      <c r="N107" s="17">
        <f t="shared" si="9"/>
        <v>0</v>
      </c>
      <c r="O107" s="17">
        <f t="shared" si="10"/>
        <v>0</v>
      </c>
    </row>
    <row r="108" spans="3:15" x14ac:dyDescent="0.25">
      <c r="C108" s="17"/>
      <c r="D108" s="9"/>
      <c r="I108" s="17"/>
      <c r="L108" s="34">
        <f t="shared" si="7"/>
        <v>0</v>
      </c>
      <c r="M108" s="17">
        <f t="shared" si="8"/>
        <v>0</v>
      </c>
      <c r="N108" s="17">
        <f t="shared" si="9"/>
        <v>0</v>
      </c>
      <c r="O108" s="17">
        <f t="shared" si="10"/>
        <v>0</v>
      </c>
    </row>
    <row r="109" spans="3:15" x14ac:dyDescent="0.25">
      <c r="C109" s="17"/>
      <c r="D109" s="9"/>
      <c r="I109" s="17"/>
      <c r="L109" s="34">
        <f t="shared" si="7"/>
        <v>0</v>
      </c>
      <c r="M109" s="17">
        <f t="shared" si="8"/>
        <v>0</v>
      </c>
      <c r="N109" s="17">
        <f t="shared" si="9"/>
        <v>0</v>
      </c>
      <c r="O109" s="17">
        <f t="shared" si="10"/>
        <v>0</v>
      </c>
    </row>
    <row r="110" spans="3:15" x14ac:dyDescent="0.25">
      <c r="C110" s="17"/>
      <c r="D110" s="9"/>
      <c r="I110" s="17"/>
      <c r="L110" s="34">
        <f t="shared" si="7"/>
        <v>0</v>
      </c>
      <c r="M110" s="17">
        <f t="shared" si="8"/>
        <v>0</v>
      </c>
      <c r="N110" s="17">
        <f t="shared" si="9"/>
        <v>0</v>
      </c>
      <c r="O110" s="17">
        <f t="shared" si="10"/>
        <v>0</v>
      </c>
    </row>
    <row r="111" spans="3:15" x14ac:dyDescent="0.25">
      <c r="C111" s="17"/>
      <c r="D111" s="9"/>
      <c r="I111" s="17"/>
      <c r="L111" s="34">
        <f t="shared" si="7"/>
        <v>0</v>
      </c>
      <c r="M111" s="17">
        <f t="shared" si="8"/>
        <v>0</v>
      </c>
      <c r="N111" s="17">
        <f t="shared" si="9"/>
        <v>0</v>
      </c>
      <c r="O111" s="17">
        <f t="shared" si="10"/>
        <v>0</v>
      </c>
    </row>
    <row r="112" spans="3:15" x14ac:dyDescent="0.25">
      <c r="C112" s="17"/>
      <c r="D112" s="9"/>
      <c r="I112" s="17"/>
      <c r="L112" s="34">
        <f t="shared" si="7"/>
        <v>0</v>
      </c>
      <c r="M112" s="17">
        <f t="shared" si="8"/>
        <v>0</v>
      </c>
      <c r="N112" s="17">
        <f t="shared" si="9"/>
        <v>0</v>
      </c>
      <c r="O112" s="17">
        <f t="shared" si="10"/>
        <v>0</v>
      </c>
    </row>
    <row r="113" spans="3:15" x14ac:dyDescent="0.25">
      <c r="C113" s="17"/>
      <c r="D113" s="9"/>
      <c r="I113" s="17"/>
      <c r="L113" s="34">
        <f t="shared" si="7"/>
        <v>0</v>
      </c>
      <c r="M113" s="17">
        <f t="shared" si="8"/>
        <v>0</v>
      </c>
      <c r="N113" s="17">
        <f t="shared" si="9"/>
        <v>0</v>
      </c>
      <c r="O113" s="17">
        <f t="shared" si="10"/>
        <v>0</v>
      </c>
    </row>
    <row r="114" spans="3:15" x14ac:dyDescent="0.25">
      <c r="C114" s="17"/>
      <c r="D114" s="9"/>
      <c r="I114" s="17"/>
      <c r="L114" s="34">
        <f t="shared" si="7"/>
        <v>0</v>
      </c>
      <c r="M114" s="17">
        <f t="shared" si="8"/>
        <v>0</v>
      </c>
      <c r="N114" s="17">
        <f t="shared" si="9"/>
        <v>0</v>
      </c>
      <c r="O114" s="17">
        <f t="shared" si="10"/>
        <v>0</v>
      </c>
    </row>
    <row r="115" spans="3:15" x14ac:dyDescent="0.25">
      <c r="C115" s="17"/>
      <c r="D115" s="9"/>
      <c r="I115" s="17"/>
      <c r="L115" s="34">
        <f t="shared" si="7"/>
        <v>0</v>
      </c>
      <c r="M115" s="17">
        <f t="shared" si="8"/>
        <v>0</v>
      </c>
      <c r="N115" s="17">
        <f t="shared" si="9"/>
        <v>0</v>
      </c>
      <c r="O115" s="17">
        <f t="shared" si="10"/>
        <v>0</v>
      </c>
    </row>
    <row r="116" spans="3:15" x14ac:dyDescent="0.25">
      <c r="C116" s="17"/>
      <c r="D116" s="9"/>
      <c r="I116" s="17"/>
      <c r="L116" s="34">
        <f t="shared" si="7"/>
        <v>0</v>
      </c>
      <c r="M116" s="17">
        <f t="shared" si="8"/>
        <v>0</v>
      </c>
      <c r="N116" s="17">
        <f t="shared" si="9"/>
        <v>0</v>
      </c>
      <c r="O116" s="17">
        <f t="shared" si="10"/>
        <v>0</v>
      </c>
    </row>
    <row r="117" spans="3:15" x14ac:dyDescent="0.25">
      <c r="C117" s="17"/>
      <c r="D117" s="9"/>
      <c r="I117" s="17"/>
      <c r="L117" s="34">
        <f t="shared" si="7"/>
        <v>0</v>
      </c>
      <c r="M117" s="17">
        <f t="shared" si="8"/>
        <v>0</v>
      </c>
      <c r="N117" s="17">
        <f t="shared" si="9"/>
        <v>0</v>
      </c>
      <c r="O117" s="17">
        <f t="shared" si="10"/>
        <v>0</v>
      </c>
    </row>
    <row r="118" spans="3:15" x14ac:dyDescent="0.25">
      <c r="C118" s="17"/>
      <c r="D118" s="9"/>
      <c r="I118" s="17"/>
      <c r="L118" s="34">
        <f t="shared" si="7"/>
        <v>0</v>
      </c>
      <c r="M118" s="17">
        <f t="shared" si="8"/>
        <v>0</v>
      </c>
      <c r="N118" s="17">
        <f t="shared" si="9"/>
        <v>0</v>
      </c>
      <c r="O118" s="17">
        <f t="shared" si="10"/>
        <v>0</v>
      </c>
    </row>
    <row r="119" spans="3:15" x14ac:dyDescent="0.25">
      <c r="C119" s="17"/>
      <c r="D119" s="9"/>
      <c r="I119" s="17"/>
      <c r="L119" s="34">
        <f t="shared" si="7"/>
        <v>0</v>
      </c>
      <c r="M119" s="17">
        <f t="shared" si="8"/>
        <v>0</v>
      </c>
      <c r="N119" s="17">
        <f t="shared" si="9"/>
        <v>0</v>
      </c>
      <c r="O119" s="17">
        <f t="shared" si="10"/>
        <v>0</v>
      </c>
    </row>
    <row r="120" spans="3:15" x14ac:dyDescent="0.25">
      <c r="C120" s="17"/>
      <c r="D120" s="9"/>
      <c r="I120" s="17"/>
      <c r="L120" s="34">
        <f t="shared" si="7"/>
        <v>0</v>
      </c>
      <c r="M120" s="17">
        <f t="shared" si="8"/>
        <v>0</v>
      </c>
      <c r="N120" s="17">
        <f t="shared" si="9"/>
        <v>0</v>
      </c>
      <c r="O120" s="17">
        <f t="shared" si="10"/>
        <v>0</v>
      </c>
    </row>
    <row r="121" spans="3:15" x14ac:dyDescent="0.25">
      <c r="C121" s="17"/>
      <c r="D121" s="9"/>
      <c r="I121" s="17"/>
      <c r="L121" s="34">
        <f t="shared" si="7"/>
        <v>0</v>
      </c>
      <c r="M121" s="17">
        <f t="shared" si="8"/>
        <v>0</v>
      </c>
      <c r="N121" s="17">
        <f t="shared" si="9"/>
        <v>0</v>
      </c>
      <c r="O121" s="17">
        <f t="shared" si="10"/>
        <v>0</v>
      </c>
    </row>
    <row r="122" spans="3:15" x14ac:dyDescent="0.25">
      <c r="C122" s="17"/>
      <c r="D122" s="9"/>
      <c r="I122" s="17"/>
      <c r="L122" s="34">
        <f t="shared" si="7"/>
        <v>0</v>
      </c>
      <c r="M122" s="17">
        <f t="shared" si="8"/>
        <v>0</v>
      </c>
      <c r="N122" s="17">
        <f t="shared" si="9"/>
        <v>0</v>
      </c>
      <c r="O122" s="17">
        <f t="shared" si="10"/>
        <v>0</v>
      </c>
    </row>
    <row r="123" spans="3:15" x14ac:dyDescent="0.25">
      <c r="C123" s="17"/>
      <c r="D123" s="9"/>
      <c r="I123" s="17"/>
      <c r="L123" s="34">
        <f t="shared" si="7"/>
        <v>0</v>
      </c>
      <c r="M123" s="17">
        <f t="shared" si="8"/>
        <v>0</v>
      </c>
      <c r="N123" s="17">
        <f t="shared" si="9"/>
        <v>0</v>
      </c>
      <c r="O123" s="17">
        <f t="shared" si="10"/>
        <v>0</v>
      </c>
    </row>
    <row r="124" spans="3:15" x14ac:dyDescent="0.25">
      <c r="C124" s="17"/>
      <c r="D124" s="9"/>
      <c r="I124" s="17"/>
      <c r="L124" s="34">
        <f t="shared" si="7"/>
        <v>0</v>
      </c>
      <c r="M124" s="17">
        <f t="shared" si="8"/>
        <v>0</v>
      </c>
      <c r="N124" s="17">
        <f t="shared" si="9"/>
        <v>0</v>
      </c>
      <c r="O124" s="17">
        <f t="shared" si="10"/>
        <v>0</v>
      </c>
    </row>
    <row r="125" spans="3:15" x14ac:dyDescent="0.25">
      <c r="C125" s="17"/>
      <c r="D125" s="9"/>
      <c r="I125" s="17"/>
      <c r="L125" s="34">
        <f t="shared" si="7"/>
        <v>0</v>
      </c>
      <c r="M125" s="17">
        <f t="shared" si="8"/>
        <v>0</v>
      </c>
      <c r="N125" s="17">
        <f t="shared" si="9"/>
        <v>0</v>
      </c>
      <c r="O125" s="17">
        <f t="shared" si="10"/>
        <v>0</v>
      </c>
    </row>
    <row r="126" spans="3:15" x14ac:dyDescent="0.25">
      <c r="C126" s="17"/>
      <c r="D126" s="9"/>
      <c r="I126" s="17"/>
      <c r="L126" s="34">
        <f t="shared" si="7"/>
        <v>0</v>
      </c>
      <c r="M126" s="17">
        <f t="shared" si="8"/>
        <v>0</v>
      </c>
      <c r="N126" s="17">
        <f t="shared" si="9"/>
        <v>0</v>
      </c>
      <c r="O126" s="17">
        <f t="shared" si="10"/>
        <v>0</v>
      </c>
    </row>
    <row r="127" spans="3:15" x14ac:dyDescent="0.25">
      <c r="C127" s="17"/>
      <c r="D127" s="9"/>
      <c r="I127" s="17"/>
      <c r="L127" s="34">
        <f t="shared" si="7"/>
        <v>0</v>
      </c>
      <c r="M127" s="17">
        <f t="shared" si="8"/>
        <v>0</v>
      </c>
      <c r="N127" s="17">
        <f t="shared" si="9"/>
        <v>0</v>
      </c>
      <c r="O127" s="17">
        <f t="shared" si="10"/>
        <v>0</v>
      </c>
    </row>
    <row r="128" spans="3:15" x14ac:dyDescent="0.25">
      <c r="C128" s="17"/>
      <c r="D128" s="9"/>
      <c r="I128" s="17"/>
      <c r="L128" s="34">
        <f t="shared" si="7"/>
        <v>0</v>
      </c>
      <c r="M128" s="17">
        <f t="shared" si="8"/>
        <v>0</v>
      </c>
      <c r="N128" s="17">
        <f t="shared" si="9"/>
        <v>0</v>
      </c>
      <c r="O128" s="17">
        <f t="shared" si="10"/>
        <v>0</v>
      </c>
    </row>
    <row r="129" spans="3:15" x14ac:dyDescent="0.25">
      <c r="C129" s="17"/>
      <c r="D129" s="9"/>
      <c r="I129" s="17"/>
      <c r="L129" s="34">
        <f t="shared" si="7"/>
        <v>0</v>
      </c>
      <c r="M129" s="17">
        <f t="shared" si="8"/>
        <v>0</v>
      </c>
      <c r="N129" s="17">
        <f t="shared" si="9"/>
        <v>0</v>
      </c>
      <c r="O129" s="17">
        <f t="shared" si="10"/>
        <v>0</v>
      </c>
    </row>
    <row r="130" spans="3:15" x14ac:dyDescent="0.25">
      <c r="C130" s="17"/>
      <c r="D130" s="9"/>
      <c r="I130" s="17"/>
      <c r="L130" s="34">
        <f t="shared" si="7"/>
        <v>0</v>
      </c>
      <c r="M130" s="17">
        <f t="shared" si="8"/>
        <v>0</v>
      </c>
      <c r="N130" s="17">
        <f t="shared" si="9"/>
        <v>0</v>
      </c>
      <c r="O130" s="17">
        <f t="shared" si="10"/>
        <v>0</v>
      </c>
    </row>
    <row r="131" spans="3:15" x14ac:dyDescent="0.25">
      <c r="C131" s="17"/>
      <c r="D131" s="9"/>
      <c r="I131" s="17"/>
      <c r="L131" s="34">
        <f t="shared" si="7"/>
        <v>0</v>
      </c>
      <c r="M131" s="17">
        <f t="shared" si="8"/>
        <v>0</v>
      </c>
      <c r="N131" s="17">
        <f t="shared" si="9"/>
        <v>0</v>
      </c>
      <c r="O131" s="17">
        <f t="shared" si="10"/>
        <v>0</v>
      </c>
    </row>
    <row r="132" spans="3:15" x14ac:dyDescent="0.25">
      <c r="C132" s="17"/>
      <c r="D132" s="9"/>
      <c r="I132" s="17"/>
      <c r="L132" s="34">
        <f t="shared" si="7"/>
        <v>0</v>
      </c>
      <c r="M132" s="17">
        <f t="shared" si="8"/>
        <v>0</v>
      </c>
      <c r="N132" s="17">
        <f t="shared" si="9"/>
        <v>0</v>
      </c>
      <c r="O132" s="17">
        <f t="shared" si="10"/>
        <v>0</v>
      </c>
    </row>
    <row r="133" spans="3:15" x14ac:dyDescent="0.25">
      <c r="C133" s="17"/>
      <c r="D133" s="9"/>
      <c r="I133" s="17"/>
      <c r="L133" s="34">
        <f t="shared" si="7"/>
        <v>0</v>
      </c>
      <c r="M133" s="17">
        <f t="shared" si="8"/>
        <v>0</v>
      </c>
      <c r="N133" s="17">
        <f t="shared" si="9"/>
        <v>0</v>
      </c>
      <c r="O133" s="17">
        <f t="shared" si="10"/>
        <v>0</v>
      </c>
    </row>
    <row r="134" spans="3:15" x14ac:dyDescent="0.25">
      <c r="C134" s="17"/>
      <c r="D134" s="9"/>
      <c r="I134" s="17"/>
      <c r="L134" s="34">
        <f t="shared" si="7"/>
        <v>0</v>
      </c>
      <c r="M134" s="17">
        <f t="shared" si="8"/>
        <v>0</v>
      </c>
      <c r="N134" s="17">
        <f t="shared" si="9"/>
        <v>0</v>
      </c>
      <c r="O134" s="17">
        <f t="shared" ref="O134:O154" si="11">IF(E134="Sell", N134+J134*M134, 0)</f>
        <v>0</v>
      </c>
    </row>
    <row r="135" spans="3:15" x14ac:dyDescent="0.25">
      <c r="C135" s="17"/>
      <c r="D135" s="9"/>
      <c r="I135" s="17"/>
      <c r="L135" s="34">
        <f t="shared" ref="L135:L154" si="12">L134+J135</f>
        <v>0</v>
      </c>
      <c r="M135" s="17">
        <f t="shared" ref="M135:M154" si="13">IF(E135="Buy", L134*M134+(-K135)/L135, M134)</f>
        <v>0</v>
      </c>
      <c r="N135" s="17">
        <f t="shared" si="9"/>
        <v>0</v>
      </c>
      <c r="O135" s="17">
        <f t="shared" si="11"/>
        <v>0</v>
      </c>
    </row>
    <row r="136" spans="3:15" x14ac:dyDescent="0.25">
      <c r="C136" s="17"/>
      <c r="D136" s="9"/>
      <c r="I136" s="17"/>
      <c r="L136" s="34">
        <f t="shared" si="12"/>
        <v>0</v>
      </c>
      <c r="M136" s="17">
        <f t="shared" si="13"/>
        <v>0</v>
      </c>
      <c r="N136" s="17">
        <f t="shared" ref="N136:N154" si="14">IF(E136="Sell",K136, 0)</f>
        <v>0</v>
      </c>
      <c r="O136" s="17">
        <f t="shared" si="11"/>
        <v>0</v>
      </c>
    </row>
    <row r="137" spans="3:15" x14ac:dyDescent="0.25">
      <c r="C137" s="17"/>
      <c r="D137" s="9"/>
      <c r="I137" s="17"/>
      <c r="L137" s="34">
        <f t="shared" si="12"/>
        <v>0</v>
      </c>
      <c r="M137" s="17">
        <f t="shared" si="13"/>
        <v>0</v>
      </c>
      <c r="N137" s="17">
        <f t="shared" si="14"/>
        <v>0</v>
      </c>
      <c r="O137" s="17">
        <f t="shared" si="11"/>
        <v>0</v>
      </c>
    </row>
    <row r="138" spans="3:15" x14ac:dyDescent="0.25">
      <c r="C138" s="17"/>
      <c r="D138" s="9"/>
      <c r="I138" s="17"/>
      <c r="L138" s="34">
        <f t="shared" si="12"/>
        <v>0</v>
      </c>
      <c r="M138" s="17">
        <f t="shared" si="13"/>
        <v>0</v>
      </c>
      <c r="N138" s="17">
        <f t="shared" si="14"/>
        <v>0</v>
      </c>
      <c r="O138" s="17">
        <f t="shared" si="11"/>
        <v>0</v>
      </c>
    </row>
    <row r="139" spans="3:15" x14ac:dyDescent="0.25">
      <c r="C139" s="17"/>
      <c r="D139" s="9"/>
      <c r="I139" s="17"/>
      <c r="L139" s="34">
        <f t="shared" si="12"/>
        <v>0</v>
      </c>
      <c r="M139" s="17">
        <f t="shared" si="13"/>
        <v>0</v>
      </c>
      <c r="N139" s="17">
        <f t="shared" si="14"/>
        <v>0</v>
      </c>
      <c r="O139" s="17">
        <f t="shared" si="11"/>
        <v>0</v>
      </c>
    </row>
    <row r="140" spans="3:15" x14ac:dyDescent="0.25">
      <c r="C140" s="17"/>
      <c r="D140" s="9"/>
      <c r="I140" s="17"/>
      <c r="L140" s="34">
        <f t="shared" si="12"/>
        <v>0</v>
      </c>
      <c r="M140" s="17">
        <f t="shared" si="13"/>
        <v>0</v>
      </c>
      <c r="N140" s="17">
        <f t="shared" si="14"/>
        <v>0</v>
      </c>
      <c r="O140" s="17">
        <f t="shared" si="11"/>
        <v>0</v>
      </c>
    </row>
    <row r="141" spans="3:15" x14ac:dyDescent="0.25">
      <c r="C141" s="17"/>
      <c r="D141" s="9"/>
      <c r="I141" s="17"/>
      <c r="L141" s="34">
        <f t="shared" si="12"/>
        <v>0</v>
      </c>
      <c r="M141" s="17">
        <f t="shared" si="13"/>
        <v>0</v>
      </c>
      <c r="N141" s="17">
        <f t="shared" si="14"/>
        <v>0</v>
      </c>
      <c r="O141" s="17">
        <f t="shared" si="11"/>
        <v>0</v>
      </c>
    </row>
    <row r="142" spans="3:15" x14ac:dyDescent="0.25">
      <c r="C142" s="17"/>
      <c r="D142" s="9"/>
      <c r="I142" s="17"/>
      <c r="L142" s="34">
        <f t="shared" si="12"/>
        <v>0</v>
      </c>
      <c r="M142" s="17">
        <f t="shared" si="13"/>
        <v>0</v>
      </c>
      <c r="N142" s="17">
        <f t="shared" si="14"/>
        <v>0</v>
      </c>
      <c r="O142" s="17">
        <f t="shared" si="11"/>
        <v>0</v>
      </c>
    </row>
    <row r="143" spans="3:15" x14ac:dyDescent="0.25">
      <c r="C143" s="17"/>
      <c r="D143" s="9"/>
      <c r="I143" s="17"/>
      <c r="L143" s="34">
        <f t="shared" si="12"/>
        <v>0</v>
      </c>
      <c r="M143" s="17">
        <f t="shared" si="13"/>
        <v>0</v>
      </c>
      <c r="N143" s="17">
        <f t="shared" si="14"/>
        <v>0</v>
      </c>
      <c r="O143" s="17">
        <f t="shared" si="11"/>
        <v>0</v>
      </c>
    </row>
    <row r="144" spans="3:15" x14ac:dyDescent="0.25">
      <c r="C144" s="17"/>
      <c r="D144" s="9"/>
      <c r="I144" s="17"/>
      <c r="L144" s="34">
        <f t="shared" si="12"/>
        <v>0</v>
      </c>
      <c r="M144" s="17">
        <f t="shared" si="13"/>
        <v>0</v>
      </c>
      <c r="N144" s="17">
        <f t="shared" si="14"/>
        <v>0</v>
      </c>
      <c r="O144" s="17">
        <f t="shared" si="11"/>
        <v>0</v>
      </c>
    </row>
    <row r="145" spans="3:16" x14ac:dyDescent="0.25">
      <c r="C145" s="17"/>
      <c r="D145" s="9"/>
      <c r="I145" s="17"/>
      <c r="L145" s="34">
        <f t="shared" si="12"/>
        <v>0</v>
      </c>
      <c r="M145" s="17">
        <f t="shared" si="13"/>
        <v>0</v>
      </c>
      <c r="N145" s="17">
        <f t="shared" si="14"/>
        <v>0</v>
      </c>
      <c r="O145" s="17">
        <f t="shared" si="11"/>
        <v>0</v>
      </c>
    </row>
    <row r="146" spans="3:16" x14ac:dyDescent="0.25">
      <c r="C146" s="17"/>
      <c r="D146" s="9"/>
      <c r="I146" s="17"/>
      <c r="L146" s="34">
        <f t="shared" si="12"/>
        <v>0</v>
      </c>
      <c r="M146" s="17">
        <f t="shared" si="13"/>
        <v>0</v>
      </c>
      <c r="N146" s="17">
        <f t="shared" si="14"/>
        <v>0</v>
      </c>
      <c r="O146" s="17">
        <f t="shared" si="11"/>
        <v>0</v>
      </c>
    </row>
    <row r="147" spans="3:16" x14ac:dyDescent="0.25">
      <c r="C147" s="17"/>
      <c r="D147" s="9"/>
      <c r="I147" s="17"/>
      <c r="L147" s="34">
        <f t="shared" si="12"/>
        <v>0</v>
      </c>
      <c r="M147" s="17">
        <f t="shared" si="13"/>
        <v>0</v>
      </c>
      <c r="N147" s="17">
        <f t="shared" si="14"/>
        <v>0</v>
      </c>
      <c r="O147" s="17">
        <f t="shared" si="11"/>
        <v>0</v>
      </c>
    </row>
    <row r="148" spans="3:16" x14ac:dyDescent="0.25">
      <c r="C148" s="17"/>
      <c r="D148" s="9"/>
      <c r="I148" s="17"/>
      <c r="L148" s="34">
        <f t="shared" si="12"/>
        <v>0</v>
      </c>
      <c r="M148" s="17">
        <f t="shared" si="13"/>
        <v>0</v>
      </c>
      <c r="N148" s="17">
        <f t="shared" si="14"/>
        <v>0</v>
      </c>
      <c r="O148" s="17">
        <f t="shared" si="11"/>
        <v>0</v>
      </c>
    </row>
    <row r="149" spans="3:16" x14ac:dyDescent="0.25">
      <c r="C149" s="17"/>
      <c r="D149" s="9"/>
      <c r="I149" s="17"/>
      <c r="L149" s="34">
        <f t="shared" si="12"/>
        <v>0</v>
      </c>
      <c r="M149" s="17">
        <f t="shared" si="13"/>
        <v>0</v>
      </c>
      <c r="N149" s="17">
        <f t="shared" si="14"/>
        <v>0</v>
      </c>
      <c r="O149" s="17">
        <f t="shared" si="11"/>
        <v>0</v>
      </c>
    </row>
    <row r="150" spans="3:16" x14ac:dyDescent="0.25">
      <c r="C150" s="17"/>
      <c r="D150" s="9"/>
      <c r="I150" s="17"/>
      <c r="L150" s="34">
        <f t="shared" si="12"/>
        <v>0</v>
      </c>
      <c r="M150" s="17">
        <f t="shared" si="13"/>
        <v>0</v>
      </c>
      <c r="N150" s="17">
        <f t="shared" si="14"/>
        <v>0</v>
      </c>
      <c r="O150" s="17">
        <f t="shared" si="11"/>
        <v>0</v>
      </c>
    </row>
    <row r="151" spans="3:16" x14ac:dyDescent="0.25">
      <c r="C151" s="17"/>
      <c r="D151" s="9"/>
      <c r="I151" s="17"/>
      <c r="L151" s="34">
        <f t="shared" si="12"/>
        <v>0</v>
      </c>
      <c r="M151" s="17">
        <f t="shared" si="13"/>
        <v>0</v>
      </c>
      <c r="N151" s="17">
        <f t="shared" si="14"/>
        <v>0</v>
      </c>
      <c r="O151" s="17">
        <f t="shared" si="11"/>
        <v>0</v>
      </c>
    </row>
    <row r="152" spans="3:16" x14ac:dyDescent="0.25">
      <c r="C152" s="17"/>
      <c r="D152" s="9"/>
      <c r="I152" s="17"/>
      <c r="L152" s="34">
        <f t="shared" si="12"/>
        <v>0</v>
      </c>
      <c r="M152" s="17">
        <f t="shared" si="13"/>
        <v>0</v>
      </c>
      <c r="N152" s="17">
        <f t="shared" si="14"/>
        <v>0</v>
      </c>
      <c r="O152" s="17">
        <f t="shared" si="11"/>
        <v>0</v>
      </c>
    </row>
    <row r="153" spans="3:16" x14ac:dyDescent="0.25">
      <c r="C153" s="17"/>
      <c r="D153" s="9"/>
      <c r="I153" s="17"/>
      <c r="L153" s="34">
        <f t="shared" si="12"/>
        <v>0</v>
      </c>
      <c r="M153" s="17">
        <f t="shared" si="13"/>
        <v>0</v>
      </c>
      <c r="N153" s="17">
        <f t="shared" si="14"/>
        <v>0</v>
      </c>
      <c r="O153" s="17">
        <f t="shared" si="11"/>
        <v>0</v>
      </c>
    </row>
    <row r="154" spans="3:16" x14ac:dyDescent="0.25">
      <c r="C154" s="17"/>
      <c r="D154" s="9"/>
      <c r="I154" s="17"/>
      <c r="L154" s="34">
        <f t="shared" si="12"/>
        <v>0</v>
      </c>
      <c r="M154" s="17">
        <f t="shared" si="13"/>
        <v>0</v>
      </c>
      <c r="N154" s="17">
        <f t="shared" si="14"/>
        <v>0</v>
      </c>
      <c r="O154" s="17">
        <f t="shared" si="11"/>
        <v>0</v>
      </c>
    </row>
    <row r="155" spans="3:16" x14ac:dyDescent="0.25">
      <c r="C155" s="17" t="s">
        <v>60</v>
      </c>
      <c r="D155" s="17" t="s">
        <v>60</v>
      </c>
      <c r="E155" s="17" t="s">
        <v>60</v>
      </c>
      <c r="F155" s="17" t="s">
        <v>60</v>
      </c>
      <c r="G155" s="17" t="s">
        <v>60</v>
      </c>
      <c r="H155" s="17" t="s">
        <v>60</v>
      </c>
      <c r="I155" s="17" t="s">
        <v>60</v>
      </c>
      <c r="J155" s="17" t="s">
        <v>60</v>
      </c>
      <c r="K155" s="29" t="s">
        <v>60</v>
      </c>
      <c r="L155" s="17" t="s">
        <v>60</v>
      </c>
      <c r="M155" s="17" t="s">
        <v>60</v>
      </c>
      <c r="N155" s="17" t="s">
        <v>60</v>
      </c>
      <c r="O155" s="17" t="s">
        <v>60</v>
      </c>
      <c r="P155" s="17" t="s">
        <v>60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Reference Template</vt:lpstr>
      <vt:lpstr>Individual Stock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Asselstine</dc:creator>
  <cp:lastModifiedBy>Isaac Asselstine</cp:lastModifiedBy>
  <dcterms:created xsi:type="dcterms:W3CDTF">2026-06-02T21:22:56Z</dcterms:created>
  <dcterms:modified xsi:type="dcterms:W3CDTF">2026-06-09T16:28:16Z</dcterms:modified>
</cp:coreProperties>
</file>